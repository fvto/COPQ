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l-26" sheetId="22" state="visible" r:id="rId22"/>
    <sheet xmlns:r="http://schemas.openxmlformats.org/officeDocument/2006/relationships" name="Aug-26" sheetId="23" state="visible" r:id="rId23"/>
    <sheet xmlns:r="http://schemas.openxmlformats.org/officeDocument/2006/relationships" name="Sep-26" sheetId="24" state="visible" r:id="rId24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86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64" fontId="0" fillId="0" borderId="0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  <xf numFmtId="164" fontId="3" fillId="0" borderId="0" applyAlignment="1" pivotButton="0" quotePrefix="0" xfId="0">
      <alignment vertical="center"/>
    </xf>
    <xf numFmtId="167" fontId="4" fillId="0" borderId="3" pivotButton="0" quotePrefix="0" xfId="0"/>
    <xf numFmtId="167" fontId="0" fillId="0" borderId="0" pivotButton="0" quotePrefix="0" xfId="0"/>
    <xf numFmtId="167" fontId="4" fillId="0" borderId="0" pivotButton="0" quotePrefix="0" xfId="0"/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80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  <c r="Z23" s="43" t="n">
        <v>38959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 t="n">
        <v>1845.27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10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150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533.46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89.7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4436.37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428.1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461.97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18.16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2121.69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219.82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445.92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143.12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1593.15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110.94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19.33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67.77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858.74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90.73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9.34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651.11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9.26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195</v>
      </c>
      <c r="X70" s="71" t="n">
        <v>791.7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13872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3761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Jul,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RowHeight="15"/>
  <cols>
    <col width="14.1619047619048" customWidth="1" style="41" min="1" max="1"/>
    <col width="11.752380952381" customWidth="1" style="41" min="2" max="2"/>
    <col width="33" customWidth="1" style="41" min="3" max="3"/>
    <col width="16.752380952381" customWidth="1" style="41" min="4" max="4"/>
    <col width="14" customWidth="1" style="41" min="5" max="5"/>
    <col width="36.752380952381" customWidth="1" style="41" min="9" max="9"/>
    <col width="14" customWidth="1" style="41" min="10" max="10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10.247619047619" customWidth="1" style="41" min="23" max="23"/>
    <col width="9.71428571428571" customWidth="1" style="41" min="24" max="24"/>
    <col width="9.828571428571429" customWidth="1" style="41" min="25" max="25"/>
    <col width="8.914285714285709" customWidth="1" style="41" min="26" max="26"/>
    <col width="34.9142857142857" customWidth="1" style="41" min="27" max="27"/>
    <col width="22.1619047619048" customWidth="1" style="41" min="28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41.6666666666667" customWidth="1" style="41" min="33" max="33"/>
    <col width="12" customWidth="1" style="41" min="34" max="34"/>
    <col width="13.3333333333333" customWidth="1" style="41" min="35" max="35"/>
    <col width="10.3333333333333" customWidth="1" style="41" min="36" max="36"/>
    <col width="8" customWidth="1" style="41" min="37" max="37"/>
    <col width="8.914285714285709" customWidth="1" style="41" min="38" max="38"/>
    <col width="33.5047619047619" customWidth="1" style="41" min="39" max="39"/>
    <col width="12" customWidth="1" style="41" min="40" max="40"/>
    <col width="13.3333333333333" customWidth="1" style="41" min="41" max="41"/>
    <col width="8.914285714285709" customWidth="1" style="41" min="42" max="42"/>
    <col width="23.1619047619048" customWidth="1" style="41" min="43" max="43"/>
    <col width="8.914285714285709" customWidth="1" style="41" min="44" max="44"/>
    <col width="12" customWidth="1" style="41" min="46" max="46"/>
    <col width="8.914285714285709" customWidth="1" style="41" min="47" max="47"/>
    <col width="23.1619047619048" customWidth="1" style="41" min="49" max="49"/>
    <col width="8.914285714285709" customWidth="1" style="41" min="50" max="50"/>
    <col width="13.6666666666667" customWidth="1" style="41" min="52" max="52"/>
    <col width="8.914285714285709" customWidth="1" style="41" min="53" max="53"/>
    <col width="34.0857142857143" customWidth="1" style="41" min="55" max="55"/>
    <col width="8.914285714285709" customWidth="1" style="41" min="56" max="56"/>
  </cols>
  <sheetData>
    <row r="1">
      <c r="A1" t="inlineStr">
        <is>
          <t>CoPQ Type Analysis - Aug,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46" t="n"/>
      <c r="AB3" s="67" t="n"/>
      <c r="AC3" s="57" t="n"/>
      <c r="AE3" s="46" t="n"/>
      <c r="AF3" s="46" t="n"/>
      <c r="AG3" s="83" t="n"/>
      <c r="AH3" s="67" t="n"/>
      <c r="AI3" s="57" t="n"/>
      <c r="AK3" s="46" t="n"/>
      <c r="AL3" s="46" t="n"/>
      <c r="AN3" s="67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46" t="n"/>
      <c r="AB4" s="67" t="n"/>
      <c r="AC4" s="57" t="n"/>
      <c r="AE4" s="46" t="n"/>
      <c r="AF4" s="46" t="n"/>
      <c r="AG4" s="83" t="n"/>
      <c r="AH4" s="67" t="n"/>
      <c r="AI4" s="57" t="n"/>
      <c r="AK4" s="46" t="n"/>
      <c r="AL4" s="46" t="n"/>
      <c r="AN4" s="67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46" t="n"/>
      <c r="AB5" s="67" t="n"/>
      <c r="AC5" s="57" t="n"/>
      <c r="AE5" s="46" t="n"/>
      <c r="AF5" s="46" t="n"/>
      <c r="AG5" s="83" t="n"/>
      <c r="AH5" s="67" t="n"/>
      <c r="AI5" s="57" t="n"/>
      <c r="AK5" s="46" t="n"/>
      <c r="AL5" s="46" t="n"/>
      <c r="AN5" s="67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84" t="n"/>
      <c r="S8" s="65" t="n"/>
      <c r="T8" s="65" t="n"/>
      <c r="U8" s="65" t="n"/>
      <c r="V8" s="65" t="n"/>
      <c r="W8" s="84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7" t="n">
        <v>1944</v>
      </c>
      <c r="D10" s="67" t="n">
        <v>1539.8</v>
      </c>
      <c r="E10" s="67" t="n">
        <v>1685.89</v>
      </c>
      <c r="F10" s="67" t="n">
        <v>1270.48</v>
      </c>
      <c r="G10" s="67" t="n">
        <v>1439.11</v>
      </c>
      <c r="H10" s="67" t="n">
        <v>1620.6</v>
      </c>
      <c r="I10" s="67" t="n">
        <v>1726.99</v>
      </c>
      <c r="J10" s="67" t="n">
        <v>1509.73</v>
      </c>
      <c r="K10" s="67" t="n">
        <v>1505.94</v>
      </c>
      <c r="L10" s="67" t="n">
        <v>2409.17</v>
      </c>
      <c r="M10" s="67" t="n">
        <v>1923.42</v>
      </c>
      <c r="N10" s="67" t="n">
        <v>1802.29</v>
      </c>
      <c r="O10" s="67" t="n">
        <v>2063.12</v>
      </c>
      <c r="P10" s="67" t="n">
        <v>2237.89</v>
      </c>
      <c r="Q10" s="67" t="n">
        <v>2217.23</v>
      </c>
      <c r="R10" s="67" t="n">
        <v>2132.94</v>
      </c>
      <c r="S10" s="67" t="n">
        <v>1264.52</v>
      </c>
      <c r="T10" s="67" t="n">
        <v>1749.35</v>
      </c>
      <c r="U10" s="67" t="n">
        <v>1760.93</v>
      </c>
      <c r="V10" s="67" t="n">
        <v>1601</v>
      </c>
      <c r="W10" s="67" t="n">
        <v>2020.65</v>
      </c>
      <c r="X10" s="67" t="n">
        <v>2072.29</v>
      </c>
      <c r="Y10" s="67" t="n">
        <v>1750.99</v>
      </c>
      <c r="AB10" s="67" t="n"/>
      <c r="AE10" s="46" t="n"/>
      <c r="AG10" s="57" t="n"/>
      <c r="AH10" s="67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7" t="n">
        <v>1877.25</v>
      </c>
      <c r="D11" s="67" t="n">
        <v>1624.3</v>
      </c>
      <c r="E11" s="67" t="n">
        <v>1479.95</v>
      </c>
      <c r="F11" s="67" t="n">
        <v>1148.79</v>
      </c>
      <c r="G11" s="67" t="n">
        <v>618.12</v>
      </c>
      <c r="H11" s="67" t="n">
        <v>697.67</v>
      </c>
      <c r="I11" s="67" t="n">
        <v>462.42</v>
      </c>
      <c r="J11" s="67" t="n">
        <v>366.17</v>
      </c>
      <c r="K11" s="67" t="n">
        <v>87.83</v>
      </c>
      <c r="L11" s="67" t="n">
        <v>524.0700000000001</v>
      </c>
      <c r="M11" s="67" t="n">
        <v>736.92</v>
      </c>
      <c r="N11" s="67" t="n">
        <v>944.33</v>
      </c>
      <c r="O11" s="67" t="n">
        <v>1553.89</v>
      </c>
      <c r="P11" s="67" t="n">
        <v>219.42</v>
      </c>
      <c r="Q11" s="67" t="n">
        <v>392.82</v>
      </c>
      <c r="R11" s="67" t="n">
        <v>225.65</v>
      </c>
      <c r="S11" s="67" t="n">
        <v>232.75</v>
      </c>
      <c r="T11" s="67" t="n">
        <v>302.43</v>
      </c>
      <c r="U11" s="67" t="n">
        <v>244.6</v>
      </c>
      <c r="V11" s="67" t="n">
        <v>1272.26</v>
      </c>
      <c r="W11" s="67" t="n">
        <v>711.01</v>
      </c>
      <c r="X11" s="67" t="n">
        <v>256.91</v>
      </c>
      <c r="Y11" s="67" t="n">
        <v>237.83</v>
      </c>
    </row>
    <row r="12">
      <c r="A12" s="57" t="inlineStr">
        <is>
          <t>JV</t>
        </is>
      </c>
      <c r="B12" s="57" t="inlineStr">
        <is>
          <t>Cost ($)</t>
        </is>
      </c>
      <c r="C12" s="67" t="n">
        <v>18389.09</v>
      </c>
      <c r="D12" s="67" t="n">
        <v>28206.24</v>
      </c>
      <c r="E12" s="67" t="n">
        <v>118338.75</v>
      </c>
      <c r="F12" s="67" t="n">
        <v>115145.92</v>
      </c>
      <c r="G12" s="67" t="n">
        <v>150856.8</v>
      </c>
      <c r="H12" s="67" t="n">
        <v>29766.09</v>
      </c>
      <c r="I12" s="67" t="n">
        <v>26792.1799999999</v>
      </c>
      <c r="J12" s="67" t="n">
        <v>19262.79</v>
      </c>
      <c r="K12" s="67" t="n">
        <v>6745.05000000001</v>
      </c>
      <c r="L12" s="67" t="n">
        <v>9631.159999999991</v>
      </c>
      <c r="M12" s="67" t="n">
        <v>12241.64</v>
      </c>
      <c r="N12" s="67" t="n">
        <v>7761.64</v>
      </c>
      <c r="O12" s="67" t="n">
        <v>12046.9</v>
      </c>
      <c r="P12" s="67" t="n">
        <v>5217.26</v>
      </c>
      <c r="Q12" s="67" t="n">
        <v>7102.09</v>
      </c>
      <c r="R12" s="67" t="n">
        <v>14030.1099999999</v>
      </c>
      <c r="S12" s="67" t="n">
        <v>5764.71</v>
      </c>
      <c r="T12" s="67" t="n">
        <v>3774.81</v>
      </c>
      <c r="U12" s="67" t="n">
        <v>5567.96</v>
      </c>
      <c r="V12" s="67" t="n">
        <v>4234.01</v>
      </c>
      <c r="W12" s="67" t="n">
        <v>5279.18999999999</v>
      </c>
      <c r="X12" s="67" t="n">
        <v>4649.39</v>
      </c>
      <c r="Y12" s="67" t="n">
        <v>4566.61</v>
      </c>
    </row>
    <row r="13">
      <c r="A13" s="57" t="inlineStr">
        <is>
          <t>JV2</t>
        </is>
      </c>
      <c r="B13" s="57" t="inlineStr">
        <is>
          <t>Cost ($)</t>
        </is>
      </c>
      <c r="C13" s="67" t="n">
        <v>1213.99</v>
      </c>
      <c r="D13" s="67" t="n">
        <v>1099.76</v>
      </c>
      <c r="E13" s="67" t="n">
        <v>991.15</v>
      </c>
      <c r="F13" s="67" t="n">
        <v>729.6</v>
      </c>
      <c r="G13" s="67" t="n">
        <v>1072.79</v>
      </c>
      <c r="H13" s="67" t="n">
        <v>627.15</v>
      </c>
      <c r="I13" s="67" t="n">
        <v>497.97</v>
      </c>
      <c r="J13" s="67" t="n">
        <v>526.4400000000001</v>
      </c>
      <c r="K13" s="67" t="n">
        <v>538.6900000000001</v>
      </c>
      <c r="L13" s="67" t="n">
        <v>819.22</v>
      </c>
      <c r="M13" s="67" t="n">
        <v>704.6799999999999</v>
      </c>
      <c r="N13" s="67" t="n">
        <v>845.39</v>
      </c>
      <c r="O13" s="67" t="n">
        <v>1295.75</v>
      </c>
      <c r="P13" s="67" t="n">
        <v>1023.73</v>
      </c>
      <c r="Q13" s="67" t="n">
        <v>1010.74</v>
      </c>
      <c r="R13" s="67" t="n">
        <v>458.32</v>
      </c>
      <c r="S13" s="67" t="n">
        <v>753.49</v>
      </c>
      <c r="T13" s="67" t="n">
        <v>654.52</v>
      </c>
      <c r="U13" s="67" t="n">
        <v>996.17</v>
      </c>
      <c r="V13" s="67" t="n">
        <v>810.59</v>
      </c>
      <c r="W13" s="67" t="n">
        <v>628.78</v>
      </c>
      <c r="X13" s="67" t="n">
        <v>664.0599999999999</v>
      </c>
      <c r="Y13" s="67" t="n">
        <v>522.27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73" t="n">
        <v>74082</v>
      </c>
      <c r="R18" s="73" t="n">
        <v>41826</v>
      </c>
      <c r="S18" s="73" t="n">
        <v>27670</v>
      </c>
      <c r="T18" s="73" t="n">
        <v>44938</v>
      </c>
      <c r="U18" s="73" t="n">
        <v>39674</v>
      </c>
      <c r="V18" s="73" t="n">
        <v>42748</v>
      </c>
      <c r="W18" s="43" t="n">
        <v>52607</v>
      </c>
      <c r="X18" s="73" t="n">
        <v>46326</v>
      </c>
      <c r="Y18" s="43" t="n">
        <v>62242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73" t="n">
        <v>26960</v>
      </c>
      <c r="R19" s="73" t="n">
        <v>31945</v>
      </c>
      <c r="S19" s="73" t="n">
        <v>14359</v>
      </c>
      <c r="T19" s="73" t="n">
        <v>21991</v>
      </c>
      <c r="U19" s="73" t="n">
        <v>10590</v>
      </c>
      <c r="V19" s="73" t="n">
        <v>12106</v>
      </c>
      <c r="W19" s="43" t="n">
        <v>34632</v>
      </c>
      <c r="X19" s="73" t="n">
        <v>22580</v>
      </c>
      <c r="Y19" s="43" t="n">
        <v>11534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73" t="n">
        <v>10401</v>
      </c>
      <c r="R20" s="73" t="n">
        <v>6853</v>
      </c>
      <c r="S20" s="73" t="n">
        <v>974</v>
      </c>
      <c r="T20" s="73" t="n">
        <v>4734</v>
      </c>
      <c r="U20" s="73" t="n">
        <v>1924</v>
      </c>
      <c r="V20" s="73" t="n">
        <v>1605</v>
      </c>
      <c r="W20" s="43" t="n">
        <v>2730</v>
      </c>
      <c r="X20" s="73" t="n">
        <v>5377</v>
      </c>
      <c r="Y20" s="43" t="n">
        <v>8108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73" t="n">
        <v>25768</v>
      </c>
      <c r="R21" s="73" t="n">
        <v>22929</v>
      </c>
      <c r="S21" s="73" t="n">
        <v>43701</v>
      </c>
      <c r="T21" s="73" t="n">
        <v>12269</v>
      </c>
      <c r="U21" s="73" t="n">
        <v>37045</v>
      </c>
      <c r="V21" s="73" t="n">
        <v>33486</v>
      </c>
      <c r="W21" s="43" t="n">
        <v>24746</v>
      </c>
      <c r="X21" s="73" t="n">
        <v>34144</v>
      </c>
      <c r="Y21" s="43" t="n">
        <v>15701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73" t="n">
        <v>54582</v>
      </c>
      <c r="R22" s="73" t="n">
        <v>48678</v>
      </c>
      <c r="S22" s="73" t="n">
        <v>46819</v>
      </c>
      <c r="T22" s="73" t="n">
        <v>37106</v>
      </c>
      <c r="U22" s="73" t="n">
        <v>53009</v>
      </c>
      <c r="V22" s="73" t="n">
        <v>50036</v>
      </c>
      <c r="W22" s="43" t="n">
        <v>53653</v>
      </c>
      <c r="X22" s="73" t="n">
        <v>60278</v>
      </c>
      <c r="Y22" s="43" t="n">
        <v>44113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73" t="n">
        <v>54062</v>
      </c>
      <c r="R23" s="73" t="n">
        <v>57591</v>
      </c>
      <c r="S23" s="73" t="n">
        <v>37692</v>
      </c>
      <c r="T23" s="73" t="n">
        <v>33956</v>
      </c>
      <c r="U23" s="73" t="n">
        <v>51611</v>
      </c>
      <c r="V23" s="73" t="n">
        <v>38285</v>
      </c>
      <c r="W23" s="43" t="n">
        <v>41603</v>
      </c>
      <c r="X23" s="73" t="n">
        <v>51443</v>
      </c>
      <c r="Y23" s="43" t="n">
        <v>39553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7" t="n">
        <v>1753.09</v>
      </c>
      <c r="D27" s="67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7" t="n">
        <v>1833.49</v>
      </c>
      <c r="N27" s="67" t="n">
        <v>2805.45</v>
      </c>
      <c r="O27" s="67" t="n">
        <v>2887.85</v>
      </c>
      <c r="P27" s="67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 t="n">
        <v>1665.47</v>
      </c>
      <c r="X27" s="67" t="n">
        <v>1749.91</v>
      </c>
      <c r="Y27" s="67" t="n">
        <v>1624.04</v>
      </c>
      <c r="Z27" s="67">
        <f>Y27-X27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7" t="n">
        <v>1097.01</v>
      </c>
      <c r="D28" s="67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7" t="n">
        <v>4177.28</v>
      </c>
      <c r="N28" s="67" t="n">
        <v>1733.56</v>
      </c>
      <c r="O28" s="67" t="n">
        <v>2191.5</v>
      </c>
      <c r="P28" s="67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 t="n">
        <v>1368.22</v>
      </c>
      <c r="X28" s="67" t="n">
        <v>830.41</v>
      </c>
      <c r="Y28" s="67" t="n">
        <v>447.06</v>
      </c>
      <c r="Z28" s="67">
        <f>Y28-X28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7" t="n">
        <v>28.88</v>
      </c>
      <c r="D29" s="67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7" t="n">
        <v>41.72</v>
      </c>
      <c r="N29" s="67" t="n">
        <v>35.93</v>
      </c>
      <c r="O29" s="67" t="n">
        <v>52.37</v>
      </c>
      <c r="P29" s="67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 t="n">
        <v>26.7</v>
      </c>
      <c r="X29" s="67" t="n">
        <v>91.92</v>
      </c>
      <c r="Y29" s="67" t="n">
        <v>101.9</v>
      </c>
      <c r="Z29" s="67">
        <f>Y29-X29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7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7" t="n">
        <v>139.66</v>
      </c>
      <c r="N30" s="67" t="n">
        <v>0</v>
      </c>
      <c r="O30" s="67" t="n">
        <v>731.17</v>
      </c>
      <c r="P30" s="67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 t="n">
        <v>1544.96</v>
      </c>
      <c r="X30" s="67" t="n">
        <v>1776.43</v>
      </c>
      <c r="Y30" s="67" t="n">
        <v>665.74</v>
      </c>
      <c r="Z30" s="67">
        <f>Y30-X30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7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7" t="n">
        <v>168.49</v>
      </c>
      <c r="N31" s="67" t="n">
        <v>107.59</v>
      </c>
      <c r="O31" s="67" t="n">
        <v>178.64</v>
      </c>
      <c r="P31" s="67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 t="n">
        <v>2076.68999999998</v>
      </c>
      <c r="X31" s="67" t="n">
        <v>2776.88</v>
      </c>
      <c r="Y31" s="67" t="n">
        <v>1595.58</v>
      </c>
      <c r="Z31" s="67">
        <f>Y31-X31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7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7" t="n">
        <v>705.15</v>
      </c>
      <c r="N32" s="67" t="n">
        <v>930.3099999999999</v>
      </c>
      <c r="O32" s="67" t="n">
        <v>937.47</v>
      </c>
      <c r="P32" s="67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 t="n">
        <v>506.28</v>
      </c>
      <c r="X32" s="67" t="n">
        <v>601.63</v>
      </c>
      <c r="Y32" s="67" t="n">
        <v>493.08</v>
      </c>
      <c r="Z32" s="67">
        <f>Y32-X32</f>
        <v/>
      </c>
    </row>
    <row r="33">
      <c r="C33" s="84" t="n"/>
      <c r="M33" s="84" t="n"/>
      <c r="N33" s="84" t="n"/>
      <c r="O33" s="84" t="n"/>
    </row>
    <row r="34">
      <c r="C34" s="84" t="n"/>
      <c r="M34" s="84" t="n"/>
      <c r="N34" s="84" t="n"/>
      <c r="O34" s="84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7" t="inlineStr">
        <is>
          <t>N/A</t>
        </is>
      </c>
      <c r="E40" s="67" t="inlineStr">
        <is>
          <t>N/A</t>
        </is>
      </c>
      <c r="F40" s="67" t="inlineStr">
        <is>
          <t>N/A</t>
        </is>
      </c>
      <c r="G40" s="67" t="inlineStr">
        <is>
          <t>N/A</t>
        </is>
      </c>
      <c r="H40" s="67" t="inlineStr">
        <is>
          <t>N/A</t>
        </is>
      </c>
      <c r="I40" s="57" t="inlineStr">
        <is>
          <t>N/A</t>
        </is>
      </c>
      <c r="J40" s="67" t="inlineStr">
        <is>
          <t>N/A</t>
        </is>
      </c>
      <c r="K40" s="67" t="inlineStr">
        <is>
          <t>N/A</t>
        </is>
      </c>
      <c r="L40" s="67" t="inlineStr">
        <is>
          <t>N/A</t>
        </is>
      </c>
      <c r="M40" s="67" t="inlineStr">
        <is>
          <t>N/A</t>
        </is>
      </c>
      <c r="N40" s="67" t="inlineStr">
        <is>
          <t>N/A</t>
        </is>
      </c>
      <c r="O40" s="67" t="inlineStr">
        <is>
          <t>N/A</t>
        </is>
      </c>
      <c r="Q40" s="73" t="n"/>
      <c r="Y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</row>
    <row r="44">
      <c r="A44" s="57" t="inlineStr">
        <is>
          <t>VH</t>
        </is>
      </c>
      <c r="B44" s="57" t="inlineStr">
        <is>
          <t>Cost ($)</t>
        </is>
      </c>
      <c r="C44" s="84" t="n">
        <v>9560.080000000011</v>
      </c>
      <c r="D44" s="67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 t="n">
        <v>2939.94</v>
      </c>
      <c r="X44" s="67" t="n">
        <v>3070.46</v>
      </c>
      <c r="Y44" s="67" t="n">
        <v>6737.58</v>
      </c>
      <c r="Z44" s="67">
        <f>Y44-X44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84" t="n">
        <v>10593.62</v>
      </c>
      <c r="D45" s="67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 t="n">
        <v>2479.52</v>
      </c>
      <c r="X45" s="67" t="n">
        <v>2280.95</v>
      </c>
      <c r="Y45" s="67" t="n">
        <v>2179.06</v>
      </c>
      <c r="Z45" s="67">
        <f>Y45-X45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84" t="n">
        <v>4160.625</v>
      </c>
      <c r="D46" s="67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 t="n">
        <v>3500</v>
      </c>
      <c r="X46" s="67" t="n">
        <v>3608.75</v>
      </c>
      <c r="Y46" s="67" t="n">
        <v>3551.88</v>
      </c>
      <c r="Z46" s="67">
        <f>Y46-X46</f>
        <v/>
      </c>
    </row>
    <row r="47">
      <c r="A47" s="57" t="inlineStr">
        <is>
          <t>JV</t>
        </is>
      </c>
      <c r="B47" s="57" t="inlineStr">
        <is>
          <t>Cost ($)</t>
        </is>
      </c>
      <c r="C47" s="84" t="n">
        <v>2520.16</v>
      </c>
      <c r="D47" s="67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 t="n">
        <v>1044.99</v>
      </c>
      <c r="X47" s="67" t="n">
        <v>1708.56</v>
      </c>
      <c r="Y47" s="67" t="n">
        <v>1298.72</v>
      </c>
      <c r="Z47" s="67">
        <f>Y47-X47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84" t="n">
        <v>33018.72</v>
      </c>
      <c r="D48" s="67" t="inlineStr">
        <is>
          <t>N/A</t>
        </is>
      </c>
      <c r="E48" s="67" t="inlineStr">
        <is>
          <t>N/A</t>
        </is>
      </c>
      <c r="F48" s="67" t="inlineStr">
        <is>
          <t>N/A</t>
        </is>
      </c>
      <c r="G48" s="67" t="inlineStr">
        <is>
          <t>N/A</t>
        </is>
      </c>
      <c r="H48" s="67" t="inlineStr">
        <is>
          <t>N/A</t>
        </is>
      </c>
      <c r="I48" s="57" t="inlineStr">
        <is>
          <t>N/A</t>
        </is>
      </c>
      <c r="J48" s="67" t="inlineStr">
        <is>
          <t>N/A</t>
        </is>
      </c>
      <c r="K48" s="67" t="inlineStr">
        <is>
          <t>N/A</t>
        </is>
      </c>
      <c r="L48" s="67" t="inlineStr">
        <is>
          <t>N/A</t>
        </is>
      </c>
      <c r="M48" s="67" t="inlineStr">
        <is>
          <t>N/A</t>
        </is>
      </c>
      <c r="N48" s="67" t="inlineStr">
        <is>
          <t>N/A</t>
        </is>
      </c>
      <c r="O48" s="67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</row>
    <row r="49">
      <c r="H49" s="67" t="n"/>
      <c r="Q49" s="67" t="n"/>
    </row>
    <row r="50"/>
    <row r="51"/>
    <row r="52"/>
    <row r="53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27</v>
      </c>
      <c r="E55" s="67" t="n">
        <v>616.78</v>
      </c>
      <c r="H55" s="46" t="inlineStr">
        <is>
          <t>VH2</t>
        </is>
      </c>
      <c r="I55" s="46" t="inlineStr">
        <is>
          <t>Factory 5</t>
        </is>
      </c>
      <c r="J55" s="65" t="n">
        <v>7</v>
      </c>
      <c r="K55" s="67" t="n">
        <v>172.37</v>
      </c>
      <c r="N55" s="46" t="inlineStr">
        <is>
          <t>JV</t>
        </is>
      </c>
      <c r="O55" s="46" t="inlineStr">
        <is>
          <t>Factory 2</t>
        </is>
      </c>
      <c r="P55" s="65" t="n">
        <v>177.5</v>
      </c>
      <c r="Q55" s="67" t="n">
        <v>2809.88</v>
      </c>
      <c r="R55" s="67" t="n"/>
      <c r="T55" s="46" t="inlineStr">
        <is>
          <t>JV2</t>
        </is>
      </c>
      <c r="U55" s="46" t="inlineStr">
        <is>
          <t>Factory 2</t>
        </is>
      </c>
      <c r="V55" s="65" t="n">
        <v>15</v>
      </c>
      <c r="W55" s="67" t="n">
        <v>240.43</v>
      </c>
    </row>
    <row r="56">
      <c r="B56" s="46" t="inlineStr">
        <is>
          <t>VH</t>
        </is>
      </c>
      <c r="C56" s="46" t="inlineStr">
        <is>
          <t>Factory 1</t>
        </is>
      </c>
      <c r="D56" s="65" t="n">
        <v>24</v>
      </c>
      <c r="E56" s="67" t="n">
        <v>539.71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7" t="n">
        <v>34.72</v>
      </c>
      <c r="N56" s="46" t="inlineStr">
        <is>
          <t>JV</t>
        </is>
      </c>
      <c r="O56" s="46" t="inlineStr">
        <is>
          <t>Factory 1</t>
        </is>
      </c>
      <c r="P56" s="65" t="n">
        <v>101.5</v>
      </c>
      <c r="Q56" s="67" t="n">
        <v>1756.73</v>
      </c>
      <c r="R56" s="67" t="n"/>
      <c r="T56" s="46" t="inlineStr">
        <is>
          <t>JV2</t>
        </is>
      </c>
      <c r="U56" s="46" t="inlineStr">
        <is>
          <t>Factory 1</t>
        </is>
      </c>
      <c r="V56" s="65" t="n">
        <v>8.5</v>
      </c>
      <c r="W56" s="67" t="n">
        <v>152.29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18.5</v>
      </c>
      <c r="E57" s="67" t="n">
        <v>441.25</v>
      </c>
      <c r="H57" s="46" t="inlineStr">
        <is>
          <t>VH2</t>
        </is>
      </c>
      <c r="I57" s="46" t="inlineStr">
        <is>
          <t>Factory 3</t>
        </is>
      </c>
      <c r="J57" s="65" t="n">
        <v>2</v>
      </c>
      <c r="K57" s="67" t="n">
        <v>30.74</v>
      </c>
      <c r="N57" s="46" t="n"/>
      <c r="P57" s="43" t="n"/>
      <c r="Q57" s="67" t="n"/>
      <c r="R57" s="67" t="n"/>
      <c r="T57" s="46" t="inlineStr">
        <is>
          <t>JV2</t>
        </is>
      </c>
      <c r="U57" s="46" t="inlineStr">
        <is>
          <t>Factory 3</t>
        </is>
      </c>
      <c r="V57" s="65" t="n">
        <v>8</v>
      </c>
      <c r="W57" s="67" t="n">
        <v>129.55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15</v>
      </c>
      <c r="E58" s="67" t="n">
        <v>153.25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7" t="n"/>
      <c r="N59" s="46" t="n"/>
      <c r="O59" s="46" t="n"/>
      <c r="P59" s="43" t="n"/>
      <c r="T59" s="46" t="n"/>
      <c r="U59" s="46" t="n"/>
      <c r="V59" s="43" t="n"/>
    </row>
    <row r="60">
      <c r="B60" s="84" t="n"/>
      <c r="C60" s="84" t="n"/>
      <c r="D60" s="84" t="n"/>
      <c r="J60" s="43" t="n"/>
      <c r="L60" s="65" t="n"/>
      <c r="M60" s="67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</t>
        </is>
      </c>
      <c r="D62" s="79" t="n">
        <v>5</v>
      </c>
      <c r="E62" s="85" t="n">
        <v>150.54</v>
      </c>
      <c r="H62" s="46" t="inlineStr">
        <is>
          <t>VH2</t>
        </is>
      </c>
      <c r="I62" s="57" t="inlineStr">
        <is>
          <t>NIKE AIR WINFLO 12 GTX</t>
        </is>
      </c>
      <c r="J62" s="65" t="n">
        <v>3.5</v>
      </c>
      <c r="K62" s="67" t="n">
        <v>90.65000000000001</v>
      </c>
      <c r="N62" s="46" t="inlineStr">
        <is>
          <t>JV</t>
        </is>
      </c>
      <c r="O62" s="57" t="inlineStr">
        <is>
          <t>NIKE EBERNON LOW PREM</t>
        </is>
      </c>
      <c r="P62" s="65" t="n">
        <v>69.5</v>
      </c>
      <c r="Q62" s="67" t="n">
        <v>1105.56</v>
      </c>
      <c r="R62" s="67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7" t="n">
        <v>88.14</v>
      </c>
    </row>
    <row r="63">
      <c r="B63" s="46" t="inlineStr">
        <is>
          <t>VH</t>
        </is>
      </c>
      <c r="C63" s="47" t="inlineStr">
        <is>
          <t>NIKE SB FORCE 58</t>
        </is>
      </c>
      <c r="D63" s="79" t="n">
        <v>8</v>
      </c>
      <c r="E63" s="85" t="n">
        <v>144.24</v>
      </c>
      <c r="H63" s="46" t="inlineStr">
        <is>
          <t>VH2</t>
        </is>
      </c>
      <c r="I63" s="57" t="inlineStr">
        <is>
          <t>AIR WINFLO 11 GTX</t>
        </is>
      </c>
      <c r="J63" s="65" t="n">
        <v>1.5</v>
      </c>
      <c r="K63" s="67" t="n">
        <v>40.44</v>
      </c>
      <c r="N63" s="46" t="inlineStr">
        <is>
          <t>JV</t>
        </is>
      </c>
      <c r="O63" s="57" t="inlineStr">
        <is>
          <t>WMNS NIKE AIR MAX MOTION 2</t>
        </is>
      </c>
      <c r="P63" s="65" t="n">
        <v>52.5</v>
      </c>
      <c r="Q63" s="67" t="n">
        <v>928.41</v>
      </c>
      <c r="R63" s="67" t="n"/>
      <c r="T63" s="46" t="inlineStr">
        <is>
          <t>JV2</t>
        </is>
      </c>
      <c r="U63" s="57" t="inlineStr">
        <is>
          <t>AIR JORDAN 1 LOW</t>
        </is>
      </c>
      <c r="V63" s="65" t="n">
        <v>4</v>
      </c>
      <c r="W63" s="67" t="n">
        <v>85.09</v>
      </c>
    </row>
    <row r="64">
      <c r="B64" s="46" t="inlineStr">
        <is>
          <t>VH</t>
        </is>
      </c>
      <c r="C64" s="47" t="inlineStr">
        <is>
          <t>AIR JORDAN 1 MID SE</t>
        </is>
      </c>
      <c r="D64" s="79" t="n">
        <v>6</v>
      </c>
      <c r="E64" s="85" t="n">
        <v>138.48</v>
      </c>
      <c r="H64" s="46" t="inlineStr">
        <is>
          <t>VH2</t>
        </is>
      </c>
      <c r="I64" s="57" t="inlineStr">
        <is>
          <t>NIKE DUNK LOW RETRO SE</t>
        </is>
      </c>
      <c r="J64" s="65" t="n">
        <v>1</v>
      </c>
      <c r="K64" s="67" t="n">
        <v>22.02</v>
      </c>
      <c r="N64" s="46" t="inlineStr">
        <is>
          <t>JV</t>
        </is>
      </c>
      <c r="O64" s="57" t="inlineStr">
        <is>
          <t>NIKE INITIATOR</t>
        </is>
      </c>
      <c r="P64" s="65" t="n">
        <v>35</v>
      </c>
      <c r="Q64" s="67" t="n">
        <v>630.21</v>
      </c>
      <c r="R64" s="67" t="n"/>
      <c r="T64" s="46" t="inlineStr">
        <is>
          <t>JV2</t>
        </is>
      </c>
      <c r="U64" s="57" t="inlineStr">
        <is>
          <t>JORDAN 1 MID SE BP</t>
        </is>
      </c>
      <c r="V64" s="65" t="n">
        <v>5</v>
      </c>
      <c r="W64" s="67" t="n">
        <v>80.59999999999999</v>
      </c>
    </row>
    <row r="65">
      <c r="B65" s="46" t="inlineStr">
        <is>
          <t>VH</t>
        </is>
      </c>
      <c r="C65" s="47" t="inlineStr">
        <is>
          <t>NIKE MANOA LEATHER</t>
        </is>
      </c>
      <c r="D65" s="79" t="n">
        <v>5</v>
      </c>
      <c r="E65" s="85" t="n">
        <v>123.48</v>
      </c>
      <c r="H65" s="46" t="inlineStr">
        <is>
          <t>VH2</t>
        </is>
      </c>
      <c r="I65" s="57" t="inlineStr">
        <is>
          <t>NIKE DUNK LOW RETRO</t>
        </is>
      </c>
      <c r="J65" s="65" t="n">
        <v>1</v>
      </c>
      <c r="K65" s="67" t="n">
        <v>19.26</v>
      </c>
      <c r="N65" s="46" t="inlineStr">
        <is>
          <t>JV</t>
        </is>
      </c>
      <c r="O65" s="57" t="inlineStr">
        <is>
          <t>WMNS NIKE INITIATOR</t>
        </is>
      </c>
      <c r="P65" s="65" t="n">
        <v>33</v>
      </c>
      <c r="Q65" s="67" t="n">
        <v>581.76</v>
      </c>
      <c r="R65" s="67" t="n"/>
      <c r="T65" s="46" t="inlineStr">
        <is>
          <t>JV2</t>
        </is>
      </c>
      <c r="U65" s="57" t="inlineStr">
        <is>
          <t>JORDAN COURT CONNECT LOW (PS)</t>
        </is>
      </c>
      <c r="V65" s="65" t="n">
        <v>3</v>
      </c>
      <c r="W65" s="67" t="n">
        <v>41.7</v>
      </c>
    </row>
    <row r="66">
      <c r="B66" s="46" t="inlineStr">
        <is>
          <t>VH</t>
        </is>
      </c>
      <c r="C66" s="47" t="inlineStr">
        <is>
          <t>AIR JORDAN 1 LOW SE V4</t>
        </is>
      </c>
      <c r="D66" s="79" t="n">
        <v>5</v>
      </c>
      <c r="E66" s="85" t="n">
        <v>110.8</v>
      </c>
      <c r="H66" s="46" t="inlineStr">
        <is>
          <t>VH2</t>
        </is>
      </c>
      <c r="I66" s="57" t="inlineStr">
        <is>
          <t>NIKE UPLIFT SC</t>
        </is>
      </c>
      <c r="J66" s="65" t="n">
        <v>1</v>
      </c>
      <c r="K66" s="67" t="n">
        <v>14.64</v>
      </c>
      <c r="N66" s="46" t="inlineStr">
        <is>
          <t>JV</t>
        </is>
      </c>
      <c r="O66" s="57" t="inlineStr">
        <is>
          <t>NIKE EBERNON LOW</t>
        </is>
      </c>
      <c r="P66" s="65" t="n">
        <v>30</v>
      </c>
      <c r="Q66" s="67" t="n">
        <v>461.87</v>
      </c>
      <c r="R66" s="67" t="n"/>
      <c r="T66" s="46" t="inlineStr">
        <is>
          <t>JV2</t>
        </is>
      </c>
      <c r="U66" s="57" t="inlineStr">
        <is>
          <t>W NIKE COURT VISION LO NN</t>
        </is>
      </c>
      <c r="V66" s="65" t="n">
        <v>2.5</v>
      </c>
      <c r="W66" s="67" t="n">
        <v>35.77</v>
      </c>
    </row>
    <row r="67" s="41"/>
    <row r="68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8816</v>
      </c>
      <c r="E70" s="72" t="n">
        <v>36.5</v>
      </c>
      <c r="F70" s="67" t="n">
        <v>490.85</v>
      </c>
      <c r="H70" s="46" t="inlineStr">
        <is>
          <t>VH2</t>
        </is>
      </c>
      <c r="I70" s="57" t="inlineStr">
        <is>
          <t>Factory 5</t>
        </is>
      </c>
      <c r="J70" s="43" t="n">
        <v>5719</v>
      </c>
      <c r="K70" s="72" t="n">
        <v>71.8</v>
      </c>
      <c r="L70" s="67" t="n">
        <v>245.58</v>
      </c>
      <c r="N70" s="46" t="inlineStr">
        <is>
          <t>JV</t>
        </is>
      </c>
      <c r="O70" s="57" t="inlineStr">
        <is>
          <t>Factory 3</t>
        </is>
      </c>
      <c r="P70" s="43" t="n">
        <v>11037</v>
      </c>
      <c r="Q70" s="72" t="n">
        <v>83.40000000000001</v>
      </c>
      <c r="R70" s="85" t="n">
        <v>476.8</v>
      </c>
      <c r="T70" s="46" t="inlineStr">
        <is>
          <t>JV2</t>
        </is>
      </c>
      <c r="U70" s="57" t="inlineStr">
        <is>
          <t>Factory 2</t>
        </is>
      </c>
      <c r="V70" s="50" t="n">
        <v>15907</v>
      </c>
      <c r="W70" s="70" t="n">
        <v>160</v>
      </c>
      <c r="X70" s="85" t="n">
        <v>649.6</v>
      </c>
      <c r="Z70" s="46" t="inlineStr">
        <is>
          <t>JVB</t>
        </is>
      </c>
      <c r="AA70" s="57" t="inlineStr">
        <is>
          <t>OS</t>
        </is>
      </c>
      <c r="AB70" s="43" t="n">
        <v>20960</v>
      </c>
      <c r="AC70" s="72" t="n">
        <v>30</v>
      </c>
      <c r="AD70" s="67" t="n">
        <v>267.85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8108</v>
      </c>
      <c r="AO70" s="80" t="n">
        <v>32.2</v>
      </c>
      <c r="AP70" s="67" t="n">
        <v>101.9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7101</v>
      </c>
      <c r="E71" s="72" t="n">
        <v>29.6</v>
      </c>
      <c r="F71" s="67" t="n">
        <v>385</v>
      </c>
      <c r="H71" s="46" t="inlineStr">
        <is>
          <t>VH2</t>
        </is>
      </c>
      <c r="I71" s="57" t="inlineStr">
        <is>
          <t>Factory 3</t>
        </is>
      </c>
      <c r="J71" s="43" t="n">
        <v>5523</v>
      </c>
      <c r="K71" s="72" t="n">
        <v>35.4</v>
      </c>
      <c r="L71" s="67" t="n">
        <v>187.9</v>
      </c>
      <c r="N71" s="46" t="inlineStr">
        <is>
          <t>JV</t>
        </is>
      </c>
      <c r="O71" s="57" t="inlineStr">
        <is>
          <t>Factory 1</t>
        </is>
      </c>
      <c r="P71" s="43" t="n">
        <v>4664</v>
      </c>
      <c r="Q71" s="72" t="n">
        <v>28.7</v>
      </c>
      <c r="R71" s="85" t="n">
        <v>188.94</v>
      </c>
      <c r="T71" s="46" t="inlineStr">
        <is>
          <t>JV2</t>
        </is>
      </c>
      <c r="U71" s="57" t="inlineStr">
        <is>
          <t>Factory 1</t>
        </is>
      </c>
      <c r="V71" s="50" t="n">
        <v>15375</v>
      </c>
      <c r="W71" s="70" t="n">
        <v>133</v>
      </c>
      <c r="X71" s="85" t="n">
        <v>548.1</v>
      </c>
      <c r="Z71" s="49" t="inlineStr">
        <is>
          <t>JVB</t>
        </is>
      </c>
      <c r="AA71" s="57" t="inlineStr">
        <is>
          <t>IP</t>
        </is>
      </c>
      <c r="AB71" s="43" t="n">
        <v>18593</v>
      </c>
      <c r="AC71" s="72" t="n">
        <v>25.5</v>
      </c>
      <c r="AD71" s="67" t="n">
        <v>225.23</v>
      </c>
      <c r="AJ71" s="67" t="n"/>
      <c r="AN71" s="43" t="n"/>
      <c r="AP71" s="67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4122</v>
      </c>
      <c r="E72" s="72" t="n">
        <v>18.5</v>
      </c>
      <c r="F72" s="67" t="n">
        <v>237.27</v>
      </c>
      <c r="H72" s="46" t="inlineStr">
        <is>
          <t>VH2</t>
        </is>
      </c>
      <c r="I72" s="57" t="inlineStr">
        <is>
          <t>Factory 1</t>
        </is>
      </c>
      <c r="J72" s="43" t="n">
        <v>292</v>
      </c>
      <c r="K72" s="72" t="n">
        <v>2</v>
      </c>
      <c r="L72" s="67" t="n">
        <v>13.58</v>
      </c>
      <c r="N72" s="46" t="n"/>
      <c r="R72" s="85" t="n"/>
      <c r="T72" s="49" t="inlineStr">
        <is>
          <t>JV2</t>
        </is>
      </c>
      <c r="U72" s="57" t="inlineStr">
        <is>
          <t>Factory 3</t>
        </is>
      </c>
      <c r="V72" s="43" t="n">
        <v>12831</v>
      </c>
      <c r="W72" s="72" t="n">
        <v>162</v>
      </c>
      <c r="X72" s="67" t="n">
        <v>397.88</v>
      </c>
      <c r="AB72" s="43" t="n"/>
      <c r="AD72" s="67" t="n"/>
      <c r="AJ72" s="67" t="n"/>
      <c r="AN72" s="43" t="n"/>
      <c r="AP72" s="67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29580</v>
      </c>
      <c r="E73" s="72" t="n">
        <v>88.5</v>
      </c>
      <c r="F73" s="67" t="n">
        <v>233.82</v>
      </c>
      <c r="H73" s="46" t="n"/>
      <c r="I73" s="57" t="n"/>
      <c r="J73" s="43" t="n"/>
      <c r="K73" s="57" t="n"/>
      <c r="L73" s="67" t="n"/>
      <c r="N73" s="49" t="n"/>
      <c r="P73" s="43" t="n"/>
      <c r="R73" s="67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3932</v>
      </c>
      <c r="E74" s="72" t="n">
        <v>14.8</v>
      </c>
      <c r="F74" s="67" t="n">
        <v>178.7</v>
      </c>
      <c r="H74" s="46" t="n"/>
      <c r="J74" s="43" t="n"/>
      <c r="L74" s="67" t="n"/>
      <c r="P74" s="43" t="n"/>
      <c r="R74" s="67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7755</v>
      </c>
      <c r="E75" s="72" t="n">
        <v>17</v>
      </c>
      <c r="F75" s="67" t="n">
        <v>51.18</v>
      </c>
      <c r="H75" s="49" t="n"/>
      <c r="J75" s="43" t="n"/>
      <c r="P75" s="43" t="n"/>
      <c r="V75" s="43" t="n"/>
      <c r="AB75" s="43" t="n"/>
    </row>
    <row r="76" s="41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7" t="n">
        <v>23.95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17382</v>
      </c>
      <c r="E79" s="72" t="n">
        <v>64</v>
      </c>
      <c r="F79" s="67" t="n">
        <v>172.16</v>
      </c>
      <c r="H79" s="46" t="inlineStr">
        <is>
          <t>VH2</t>
        </is>
      </c>
      <c r="I79" s="57" t="inlineStr">
        <is>
          <t>NIKE AIR WINFLO 12 GTX</t>
        </is>
      </c>
      <c r="J79" s="43" t="n">
        <v>2994</v>
      </c>
      <c r="K79" s="72" t="n">
        <v>44.3</v>
      </c>
      <c r="L79" s="67" t="n">
        <v>181.94</v>
      </c>
      <c r="N79" s="46" t="inlineStr">
        <is>
          <t>JV</t>
        </is>
      </c>
      <c r="O79" s="57" t="inlineStr">
        <is>
          <t>NIKE EBERNON LOW PREM</t>
        </is>
      </c>
      <c r="P79" s="50" t="n">
        <v>6434</v>
      </c>
      <c r="Q79" s="72" t="n">
        <v>42.8</v>
      </c>
      <c r="R79" s="85" t="n">
        <v>252.5</v>
      </c>
      <c r="T79" s="46" t="inlineStr">
        <is>
          <t>JV2</t>
        </is>
      </c>
      <c r="U79" s="57" t="inlineStr">
        <is>
          <t>AIR JORDAN 1 LOW</t>
        </is>
      </c>
      <c r="V79" s="50" t="n">
        <v>6923</v>
      </c>
      <c r="W79" s="70" t="n">
        <v>58</v>
      </c>
      <c r="X79" s="85" t="n">
        <v>243.6</v>
      </c>
      <c r="Z79" s="46" t="inlineStr">
        <is>
          <t>JVB</t>
        </is>
      </c>
      <c r="AA79" s="57" t="inlineStr">
        <is>
          <t>NIKE EBERNON MW</t>
        </is>
      </c>
      <c r="AB79" s="43" t="n">
        <v>14614</v>
      </c>
      <c r="AC79" s="72" t="n">
        <v>17</v>
      </c>
      <c r="AD79" s="67" t="n">
        <v>156.24</v>
      </c>
      <c r="AJ79" s="67" t="n"/>
      <c r="AL79" s="49" t="inlineStr">
        <is>
          <t>VH3</t>
        </is>
      </c>
      <c r="AM79" s="57" t="inlineStr">
        <is>
          <t>WMNS NIKE AIR MAX EXCEE</t>
        </is>
      </c>
      <c r="AN79" s="43" t="n">
        <v>2909</v>
      </c>
      <c r="AO79" s="72" t="n">
        <v>10.5</v>
      </c>
      <c r="AP79" s="67" t="n">
        <v>46.2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3973</v>
      </c>
      <c r="E80" s="72" t="n">
        <v>9.6</v>
      </c>
      <c r="F80" s="67" t="n">
        <v>101.66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2049</v>
      </c>
      <c r="K80" s="72" t="n">
        <v>10.3</v>
      </c>
      <c r="L80" s="67" t="n">
        <v>86.05</v>
      </c>
      <c r="N80" s="46" t="inlineStr">
        <is>
          <t>JV</t>
        </is>
      </c>
      <c r="O80" s="57" t="inlineStr">
        <is>
          <t>COURT BOROUGH LOW RECRAFT (TD)</t>
        </is>
      </c>
      <c r="P80" s="50" t="n">
        <v>840</v>
      </c>
      <c r="Q80" s="72" t="n">
        <v>12</v>
      </c>
      <c r="R80" s="85" t="n">
        <v>62.92</v>
      </c>
      <c r="T80" s="46" t="inlineStr">
        <is>
          <t>JV2</t>
        </is>
      </c>
      <c r="U80" s="57" t="inlineStr">
        <is>
          <t>JORDAN 1 MID SE BP</t>
        </is>
      </c>
      <c r="V80" s="50" t="n">
        <v>4889</v>
      </c>
      <c r="W80" s="70" t="n">
        <v>45</v>
      </c>
      <c r="X80" s="85" t="n">
        <v>182.7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11656</v>
      </c>
      <c r="AC80" s="72" t="n">
        <v>15</v>
      </c>
      <c r="AD80" s="67" t="n">
        <v>140.01</v>
      </c>
      <c r="AJ80" s="67" t="n"/>
      <c r="AL80" s="46" t="inlineStr">
        <is>
          <t>VH3</t>
        </is>
      </c>
      <c r="AM80" s="57" t="inlineStr">
        <is>
          <t>BENASSI JDI</t>
        </is>
      </c>
      <c r="AN80" s="43" t="n">
        <v>3880</v>
      </c>
      <c r="AO80" s="72" t="n">
        <v>15.9</v>
      </c>
      <c r="AP80" s="67" t="n">
        <v>40.81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1503</v>
      </c>
      <c r="E81" s="72" t="n">
        <v>5.8</v>
      </c>
      <c r="F81" s="67" t="n">
        <v>80.98</v>
      </c>
      <c r="H81" s="46" t="inlineStr">
        <is>
          <t>VH2</t>
        </is>
      </c>
      <c r="I81" s="57" t="inlineStr">
        <is>
          <t>WMNS NIKE INITIATOR</t>
        </is>
      </c>
      <c r="J81" s="43" t="n">
        <v>1011</v>
      </c>
      <c r="K81" s="72" t="n">
        <v>7</v>
      </c>
      <c r="L81" s="67" t="n">
        <v>43.28</v>
      </c>
      <c r="N81" s="46" t="inlineStr">
        <is>
          <t>JV</t>
        </is>
      </c>
      <c r="O81" s="57" t="inlineStr">
        <is>
          <t>NIKE AIR MAX SC</t>
        </is>
      </c>
      <c r="P81" s="50" t="n">
        <v>1038</v>
      </c>
      <c r="Q81" s="72" t="n">
        <v>8.5</v>
      </c>
      <c r="R81" s="85" t="n">
        <v>53.79</v>
      </c>
      <c r="T81" s="46" t="inlineStr">
        <is>
          <t>JV2</t>
        </is>
      </c>
      <c r="U81" s="57" t="inlineStr">
        <is>
          <t>NIKE COURT VISION LO P NB</t>
        </is>
      </c>
      <c r="V81" s="50" t="n">
        <v>5229</v>
      </c>
      <c r="W81" s="70" t="n">
        <v>72</v>
      </c>
      <c r="X81" s="85" t="n">
        <v>174.58</v>
      </c>
      <c r="Z81" s="46" t="inlineStr">
        <is>
          <t>JVB</t>
        </is>
      </c>
      <c r="AA81" s="57" t="inlineStr">
        <is>
          <t>NIKE COURT BOROUGH LOW TD</t>
        </is>
      </c>
      <c r="AB81" s="43" t="n">
        <v>2266</v>
      </c>
      <c r="AC81" s="72" t="n">
        <v>5</v>
      </c>
      <c r="AD81" s="67" t="n">
        <v>38.56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565</v>
      </c>
      <c r="AO81" s="72" t="n">
        <v>2</v>
      </c>
      <c r="AP81" s="67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TRUE FLIGHT</t>
        </is>
      </c>
      <c r="D82" s="43" t="n">
        <v>1272</v>
      </c>
      <c r="E82" s="72" t="n">
        <v>6</v>
      </c>
      <c r="F82" s="67" t="n">
        <v>72.11</v>
      </c>
      <c r="H82" s="46" t="inlineStr">
        <is>
          <t>VH2</t>
        </is>
      </c>
      <c r="I82" s="57" t="inlineStr">
        <is>
          <t>W AIR WINFLO 11 GTX</t>
        </is>
      </c>
      <c r="J82" s="43" t="n">
        <v>462</v>
      </c>
      <c r="K82" s="72" t="n">
        <v>6</v>
      </c>
      <c r="L82" s="67" t="n">
        <v>23.76</v>
      </c>
      <c r="N82" s="46" t="inlineStr">
        <is>
          <t>JV</t>
        </is>
      </c>
      <c r="O82" s="57" t="inlineStr">
        <is>
          <t>WMNS NIKE INITIATOR</t>
        </is>
      </c>
      <c r="P82" s="50" t="n">
        <v>1364</v>
      </c>
      <c r="Q82" s="72" t="n">
        <v>7.8</v>
      </c>
      <c r="R82" s="85" t="n">
        <v>50.54</v>
      </c>
      <c r="T82" s="46" t="inlineStr">
        <is>
          <t>JV2</t>
        </is>
      </c>
      <c r="U82" s="57" t="inlineStr">
        <is>
          <t>AIR JORDAN 1 MID SE (GS)</t>
        </is>
      </c>
      <c r="V82" s="50" t="n">
        <v>3836</v>
      </c>
      <c r="W82" s="70" t="n">
        <v>42</v>
      </c>
      <c r="X82" s="85" t="n">
        <v>170.52</v>
      </c>
      <c r="Z82" s="46" t="inlineStr">
        <is>
          <t>JVB</t>
        </is>
      </c>
      <c r="AA82" s="57" t="inlineStr">
        <is>
          <t>JORDAN 1 LOW ALT PS</t>
        </is>
      </c>
      <c r="AB82" s="43" t="n">
        <v>2736</v>
      </c>
      <c r="AC82" s="72" t="n">
        <v>4.5</v>
      </c>
      <c r="AD82" s="67" t="n">
        <v>36.52</v>
      </c>
      <c r="AJ82" s="67" t="n"/>
      <c r="AL82" s="46" t="inlineStr">
        <is>
          <t>VH3</t>
        </is>
      </c>
      <c r="AM82" s="57" t="inlineStr">
        <is>
          <t>NIKE COURT VISION LO P NB</t>
        </is>
      </c>
      <c r="AN82" s="43" t="n">
        <v>410</v>
      </c>
      <c r="AO82" s="72" t="n">
        <v>1.8</v>
      </c>
      <c r="AP82" s="67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 SE V4</t>
        </is>
      </c>
      <c r="D83" s="43" t="n">
        <v>1152</v>
      </c>
      <c r="E83" s="72" t="n">
        <v>5</v>
      </c>
      <c r="F83" s="67" t="n">
        <v>62.55</v>
      </c>
      <c r="H83" s="46" t="inlineStr">
        <is>
          <t>VH2</t>
        </is>
      </c>
      <c r="I83" s="57" t="inlineStr">
        <is>
          <t>W NIKE AIR WINFLO 12 GTX</t>
        </is>
      </c>
      <c r="J83" s="43" t="n">
        <v>1063</v>
      </c>
      <c r="K83" s="72" t="n">
        <v>10</v>
      </c>
      <c r="L83" s="67" t="n">
        <v>20.36</v>
      </c>
      <c r="N83" s="46" t="inlineStr">
        <is>
          <t>JV</t>
        </is>
      </c>
      <c r="O83" s="57" t="inlineStr">
        <is>
          <t>NIKE INITIATOR</t>
        </is>
      </c>
      <c r="P83" s="50" t="n">
        <v>1344</v>
      </c>
      <c r="Q83" s="72" t="n">
        <v>7</v>
      </c>
      <c r="R83" s="85" t="n">
        <v>48.71</v>
      </c>
      <c r="T83" s="46" t="inlineStr">
        <is>
          <t>JV2</t>
        </is>
      </c>
      <c r="U83" s="47" t="inlineStr">
        <is>
          <t>WMNS NIKE INITIATOR</t>
        </is>
      </c>
      <c r="V83" s="50" t="n">
        <v>4500</v>
      </c>
      <c r="W83" s="70" t="n">
        <v>46</v>
      </c>
      <c r="X83" s="85" t="n">
        <v>127.89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2261</v>
      </c>
      <c r="AC83" s="72" t="n">
        <v>3</v>
      </c>
      <c r="AD83" s="67" t="n">
        <v>26.38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158</v>
      </c>
      <c r="AO83" s="72" t="n">
        <v>1</v>
      </c>
      <c r="AP83" s="67" t="n">
        <v>2.57</v>
      </c>
    </row>
    <row r="84">
      <c r="A84" s="57" t="inlineStr">
        <is>
          <t>JVB</t>
        </is>
      </c>
    </row>
    <row r="85" s="41"/>
    <row r="86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120824</v>
      </c>
      <c r="E88" s="72" t="n">
        <v>455</v>
      </c>
      <c r="F88" s="67" t="n">
        <v>6737.58</v>
      </c>
      <c r="H88" s="49" t="inlineStr">
        <is>
          <t>VH2</t>
        </is>
      </c>
      <c r="I88" s="57" t="inlineStr">
        <is>
          <t>OS</t>
        </is>
      </c>
      <c r="J88" s="43" t="n">
        <v>17932</v>
      </c>
      <c r="K88" s="72" t="n">
        <v>204.5</v>
      </c>
      <c r="L88" s="67" t="n">
        <v>2179.06</v>
      </c>
      <c r="N88" s="49" t="inlineStr">
        <is>
          <t>JV</t>
        </is>
      </c>
      <c r="O88" t="inlineStr">
        <is>
          <t>Stockfitting</t>
        </is>
      </c>
      <c r="P88" s="77" t="n">
        <v>14796</v>
      </c>
      <c r="Q88" s="81" t="n">
        <v>128</v>
      </c>
      <c r="R88" s="85" t="n">
        <v>1298.72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36945</v>
      </c>
      <c r="AI88" s="72" t="n">
        <v>568.3</v>
      </c>
      <c r="AJ88" s="67" t="n">
        <v>3551.88</v>
      </c>
    </row>
    <row r="89">
      <c r="A89" s="57" t="inlineStr">
        <is>
          <t>VH2</t>
        </is>
      </c>
      <c r="D89" s="43" t="n"/>
      <c r="F89" s="67" t="n"/>
      <c r="J89" s="43" t="n"/>
      <c r="N89" s="49" t="n"/>
      <c r="P89" s="43" t="n"/>
      <c r="R89" s="67" t="n"/>
      <c r="V89" s="43" t="n"/>
      <c r="AB89" s="43" t="n"/>
    </row>
    <row r="90">
      <c r="A90" s="57" t="inlineStr">
        <is>
          <t>VH4</t>
        </is>
      </c>
      <c r="J90" s="43" t="n"/>
      <c r="P90" s="43" t="n"/>
      <c r="Q90" s="57" t="n"/>
      <c r="R90" s="67" t="n"/>
      <c r="V90" s="43" t="n"/>
      <c r="AB90" s="43" t="n"/>
    </row>
    <row r="91">
      <c r="A91" s="57" t="inlineStr">
        <is>
          <t>JV</t>
        </is>
      </c>
      <c r="J91" s="43" t="n"/>
      <c r="P91" s="43" t="n"/>
      <c r="R91" s="43" t="n"/>
      <c r="T91" s="67" t="n"/>
      <c r="V91" s="43" t="n"/>
      <c r="AB91" s="43" t="n"/>
    </row>
    <row r="92">
      <c r="A92" s="57" t="inlineStr">
        <is>
          <t>JVB</t>
        </is>
      </c>
      <c r="J92" s="43" t="n"/>
      <c r="P92" s="43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78378</v>
      </c>
      <c r="E96" s="72" t="n">
        <v>248.5</v>
      </c>
      <c r="F96" s="67" t="n">
        <v>5296.14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17932</v>
      </c>
      <c r="K96" s="72" t="n">
        <v>204.5</v>
      </c>
      <c r="L96" s="67" t="n">
        <v>2179.06</v>
      </c>
      <c r="N96" s="46" t="inlineStr">
        <is>
          <t>JV</t>
        </is>
      </c>
      <c r="O96" t="inlineStr">
        <is>
          <t>DOWN SHIFTER (Xcceleration)</t>
        </is>
      </c>
      <c r="P96" s="43" t="n">
        <v>14796</v>
      </c>
      <c r="Q96" s="82" t="n">
        <v>128</v>
      </c>
      <c r="R96" s="67" t="n">
        <v>1298.72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26729</v>
      </c>
      <c r="AI96" s="72" t="n">
        <v>413</v>
      </c>
      <c r="AJ96" s="67" t="n">
        <v>2581.25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TRUE FLIGHT GS</t>
        </is>
      </c>
      <c r="D97" s="43" t="n">
        <v>13765</v>
      </c>
      <c r="E97" s="72" t="n">
        <v>86.5</v>
      </c>
      <c r="F97" s="67" t="n">
        <v>725.97</v>
      </c>
      <c r="H97" s="46" t="n"/>
      <c r="J97" s="50" t="n"/>
      <c r="K97" s="47" t="n"/>
      <c r="L97" s="85" t="n"/>
      <c r="N97" s="46" t="n"/>
      <c r="O97" s="57" t="n"/>
      <c r="P97" s="43" t="n"/>
      <c r="Q97" s="43" t="n"/>
      <c r="R97" s="67" t="n"/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6444</v>
      </c>
      <c r="AI97" s="72" t="n">
        <v>99.90000000000001</v>
      </c>
      <c r="AJ97" s="67" t="n">
        <v>624.38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 (PS)</t>
        </is>
      </c>
      <c r="D98" s="43" t="n">
        <v>19713</v>
      </c>
      <c r="E98" s="72" t="n">
        <v>81</v>
      </c>
      <c r="F98" s="67" t="n">
        <v>530.52</v>
      </c>
      <c r="H98" s="46" t="n"/>
      <c r="J98" s="43" t="n"/>
      <c r="L98" s="67" t="n"/>
      <c r="N98" s="46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3772</v>
      </c>
      <c r="AI98" s="72" t="n">
        <v>55.4</v>
      </c>
      <c r="AJ98" s="67" t="n">
        <v>346.25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8968</v>
      </c>
      <c r="E99" s="72" t="n">
        <v>39</v>
      </c>
      <c r="F99" s="67" t="n">
        <v>184.95</v>
      </c>
      <c r="H99" s="46" t="n"/>
      <c r="J99" s="43" t="n"/>
      <c r="L99" s="67" t="n"/>
      <c r="N99" s="46" t="n"/>
      <c r="P99" s="43" t="n"/>
      <c r="Q99" s="43" t="n"/>
      <c r="R99" s="43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F100" s="67" t="n"/>
      <c r="H100" s="31" t="n"/>
      <c r="I100" s="31" t="n"/>
      <c r="J100" s="31" t="n"/>
      <c r="K100" s="31" t="n"/>
      <c r="L100" s="31" t="n"/>
      <c r="M100" s="57" t="n"/>
      <c r="N100" s="46" t="n"/>
      <c r="R100" s="67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Sep,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80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  <c r="Z23" s="43" t="n">
        <v>38959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 t="n">
        <v>1845.27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10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150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533.46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89.7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4436.37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428.1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461.97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18.16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2121.69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219.82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445.92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143.12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1593.15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110.94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19.33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67.77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858.74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90.73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9.34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651.11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9.26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195</v>
      </c>
      <c r="X70" s="71" t="n">
        <v>791.7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13872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3761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2026-10-06T04:31:07Z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