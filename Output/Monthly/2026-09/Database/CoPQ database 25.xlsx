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490" firstSheet="0" activeTab="0" autoFilterDateGrouping="1"/>
  </bookViews>
  <sheets>
    <sheet xmlns:r="http://schemas.openxmlformats.org/officeDocument/2006/relationships" name="Jun-24" sheetId="1" state="visible" r:id="rId1"/>
    <sheet xmlns:r="http://schemas.openxmlformats.org/officeDocument/2006/relationships" name="Jul-24" sheetId="2" state="visible" r:id="rId2"/>
    <sheet xmlns:r="http://schemas.openxmlformats.org/officeDocument/2006/relationships" name="Aug-24" sheetId="3" state="visible" r:id="rId3"/>
    <sheet xmlns:r="http://schemas.openxmlformats.org/officeDocument/2006/relationships" name="Sep-24" sheetId="4" state="visible" r:id="rId4"/>
    <sheet xmlns:r="http://schemas.openxmlformats.org/officeDocument/2006/relationships" name="Oct-24" sheetId="5" state="visible" r:id="rId5"/>
    <sheet xmlns:r="http://schemas.openxmlformats.org/officeDocument/2006/relationships" name="Nov-24" sheetId="6" state="visible" r:id="rId6"/>
    <sheet xmlns:r="http://schemas.openxmlformats.org/officeDocument/2006/relationships" name="Dec-24" sheetId="7" state="visible" r:id="rId7"/>
    <sheet xmlns:r="http://schemas.openxmlformats.org/officeDocument/2006/relationships" name="Jan-25" sheetId="8" state="visible" r:id="rId8"/>
    <sheet xmlns:r="http://schemas.openxmlformats.org/officeDocument/2006/relationships" name="Feb-25" sheetId="9" state="visible" r:id="rId9"/>
    <sheet xmlns:r="http://schemas.openxmlformats.org/officeDocument/2006/relationships" name="Mar-25" sheetId="10" state="visible" r:id="rId10"/>
    <sheet xmlns:r="http://schemas.openxmlformats.org/officeDocument/2006/relationships" name="Apr-25" sheetId="11" state="visible" r:id="rId11"/>
    <sheet xmlns:r="http://schemas.openxmlformats.org/officeDocument/2006/relationships" name="May-25" sheetId="12" state="visible" r:id="rId12"/>
    <sheet xmlns:r="http://schemas.openxmlformats.org/officeDocument/2006/relationships" name="Jun-25" sheetId="13" state="visible" r:id="rId13"/>
    <sheet xmlns:r="http://schemas.openxmlformats.org/officeDocument/2006/relationships" name="Jul-25" sheetId="14" state="visible" r:id="rId14"/>
    <sheet xmlns:r="http://schemas.openxmlformats.org/officeDocument/2006/relationships" name="Aug-25" sheetId="15" state="visible" r:id="rId15"/>
    <sheet xmlns:r="http://schemas.openxmlformats.org/officeDocument/2006/relationships" name="Sep-25" sheetId="16" state="visible" r:id="rId16"/>
    <sheet xmlns:r="http://schemas.openxmlformats.org/officeDocument/2006/relationships" name="Oct-25" sheetId="17" state="visible" r:id="rId17"/>
    <sheet xmlns:r="http://schemas.openxmlformats.org/officeDocument/2006/relationships" name="Nov-25" sheetId="18" state="visible" r:id="rId18"/>
    <sheet xmlns:r="http://schemas.openxmlformats.org/officeDocument/2006/relationships" name="Dec-25" sheetId="19" state="visible" r:id="rId19"/>
    <sheet xmlns:r="http://schemas.openxmlformats.org/officeDocument/2006/relationships" name="Jan-26" sheetId="20" state="visible" r:id="rId20"/>
    <sheet xmlns:r="http://schemas.openxmlformats.org/officeDocument/2006/relationships" name="Feb-26" sheetId="21" state="visible" r:id="rId21"/>
    <sheet xmlns:r="http://schemas.openxmlformats.org/officeDocument/2006/relationships" name="Mar-26" sheetId="22" state="visible" r:id="rId22"/>
    <sheet xmlns:r="http://schemas.openxmlformats.org/officeDocument/2006/relationships" name="Apr-26" sheetId="23" state="visible" r:id="rId23"/>
    <sheet xmlns:r="http://schemas.openxmlformats.org/officeDocument/2006/relationships" name="May-2026" sheetId="24" state="visible" r:id="rId24"/>
    <sheet xmlns:r="http://schemas.openxmlformats.org/officeDocument/2006/relationships" name="Jun-2026" sheetId="25" state="visible" r:id="rId25"/>
    <sheet xmlns:r="http://schemas.openxmlformats.org/officeDocument/2006/relationships" name="July-2026" sheetId="26" state="visible" r:id="rId26"/>
    <sheet xmlns:r="http://schemas.openxmlformats.org/officeDocument/2006/relationships" name="Aug-2026" sheetId="27" state="visible" r:id="rId27"/>
    <sheet xmlns:r="http://schemas.openxmlformats.org/officeDocument/2006/relationships" name="Sep-2026" sheetId="28" state="visible" r:id="rId28"/>
    <sheet xmlns:r="http://schemas.openxmlformats.org/officeDocument/2006/relationships" name="Current" sheetId="29" state="visible" r:id="rId29"/>
  </sheets>
  <definedNames/>
  <calcPr calcId="144525" fullCalcOnLoad="1"/>
</workbook>
</file>

<file path=xl/styles.xml><?xml version="1.0" encoding="utf-8"?>
<styleSheet xmlns="http://schemas.openxmlformats.org/spreadsheetml/2006/main">
  <numFmts count="7">
    <numFmt numFmtId="164" formatCode="&quot;$&quot;#,##0.00_);[Red]\(&quot;$&quot;#,##0.00\)"/>
    <numFmt numFmtId="165" formatCode="&quot;$&quot;#,##0.00"/>
    <numFmt numFmtId="166" formatCode="#,##0.0"/>
    <numFmt numFmtId="167" formatCode="_(* #,##0_);_(* \(#,##0\);_(* &quot;-&quot;??_);_(@_)"/>
    <numFmt numFmtId="168" formatCode="_(* #,##0.0_);_(* \(#,##0.0\);_(* &quot;-&quot;??.0_);_(@_)"/>
    <numFmt numFmtId="169" formatCode="yyyy-mm-dd h:mm:ss"/>
    <numFmt numFmtId="170" formatCode="_ * #,##0_ ;_ * \-#,##0_ ;_ * &quot;-&quot;_ ;_ @_ "/>
  </numFmts>
  <fonts count="24">
    <font>
      <name val="新細明體"/>
      <charset val="134"/>
      <color theme="1"/>
      <sz val="12"/>
    </font>
    <font>
      <name val="新細明體"/>
      <charset val="134"/>
      <color theme="1"/>
      <sz val="8"/>
    </font>
    <font>
      <name val="新細明體"/>
      <charset val="134"/>
      <b val="1"/>
      <color theme="1"/>
      <sz val="12"/>
    </font>
    <font>
      <name val="新細明體"/>
      <charset val="134"/>
      <sz val="12"/>
    </font>
    <font>
      <name val="Calibri"/>
      <charset val="134"/>
      <b val="1"/>
      <color theme="3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A7D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6" tint="0.79995117038483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3" fillId="11" borderId="0" applyAlignment="1">
      <alignment vertical="center"/>
    </xf>
    <xf numFmtId="43" fontId="0" fillId="0" borderId="0"/>
    <xf numFmtId="170" fontId="12" fillId="0" borderId="0" applyAlignment="1">
      <alignment vertical="center"/>
    </xf>
    <xf numFmtId="42" fontId="12" fillId="0" borderId="0" applyAlignment="1">
      <alignment vertical="center"/>
    </xf>
    <xf numFmtId="44" fontId="12" fillId="0" borderId="0" applyAlignment="1">
      <alignment vertical="center"/>
    </xf>
    <xf numFmtId="9" fontId="12" fillId="0" borderId="0" applyAlignment="1">
      <alignment vertical="center"/>
    </xf>
    <xf numFmtId="0" fontId="5" fillId="0" borderId="0" applyAlignment="1">
      <alignment vertical="center"/>
    </xf>
    <xf numFmtId="0" fontId="9" fillId="13" borderId="0" applyAlignment="1">
      <alignment vertical="center"/>
    </xf>
    <xf numFmtId="0" fontId="16" fillId="0" borderId="0" applyAlignment="1">
      <alignment vertical="center"/>
    </xf>
    <xf numFmtId="0" fontId="19" fillId="14" borderId="7" applyAlignment="1">
      <alignment vertical="center"/>
    </xf>
    <xf numFmtId="0" fontId="14" fillId="0" borderId="5" applyAlignment="1">
      <alignment vertical="center"/>
    </xf>
    <xf numFmtId="0" fontId="12" fillId="15" borderId="8" applyAlignment="1">
      <alignment vertical="center"/>
    </xf>
    <xf numFmtId="0" fontId="13" fillId="17" borderId="0" applyAlignment="1">
      <alignment vertical="center"/>
    </xf>
    <xf numFmtId="0" fontId="15" fillId="0" borderId="0" applyAlignment="1">
      <alignment vertical="center"/>
    </xf>
    <xf numFmtId="0" fontId="13" fillId="16" borderId="0" applyAlignment="1">
      <alignment vertical="center"/>
    </xf>
    <xf numFmtId="0" fontId="21" fillId="0" borderId="0" applyAlignment="1">
      <alignment vertical="center"/>
    </xf>
    <xf numFmtId="0" fontId="18" fillId="0" borderId="0" applyAlignment="1">
      <alignment vertical="center"/>
    </xf>
    <xf numFmtId="0" fontId="20" fillId="0" borderId="5" applyAlignment="1">
      <alignment vertical="center"/>
    </xf>
    <xf numFmtId="0" fontId="4" fillId="0" borderId="1" applyAlignment="1">
      <alignment vertical="center"/>
    </xf>
    <xf numFmtId="0" fontId="4" fillId="0" borderId="0" applyAlignment="1">
      <alignment vertical="center"/>
    </xf>
    <xf numFmtId="0" fontId="8" fillId="4" borderId="4" applyAlignment="1">
      <alignment vertical="center"/>
    </xf>
    <xf numFmtId="0" fontId="9" fillId="7" borderId="0" applyAlignment="1">
      <alignment vertical="center"/>
    </xf>
    <xf numFmtId="0" fontId="11" fillId="6" borderId="0" applyAlignment="1">
      <alignment vertical="center"/>
    </xf>
    <xf numFmtId="0" fontId="7" fillId="3" borderId="3" applyAlignment="1">
      <alignment vertical="center"/>
    </xf>
    <xf numFmtId="0" fontId="13" fillId="12" borderId="0" applyAlignment="1">
      <alignment vertical="center"/>
    </xf>
    <xf numFmtId="0" fontId="10" fillId="3" borderId="4" applyAlignment="1">
      <alignment vertical="center"/>
    </xf>
    <xf numFmtId="0" fontId="17" fillId="0" borderId="6" applyAlignment="1">
      <alignment vertical="center"/>
    </xf>
    <xf numFmtId="0" fontId="6" fillId="0" borderId="2" applyAlignment="1">
      <alignment vertical="center"/>
    </xf>
    <xf numFmtId="0" fontId="22" fillId="18" borderId="0" applyAlignment="1">
      <alignment vertical="center"/>
    </xf>
    <xf numFmtId="0" fontId="23" fillId="25" borderId="0" applyAlignment="1">
      <alignment vertical="center"/>
    </xf>
    <xf numFmtId="0" fontId="9" fillId="10" borderId="0" applyAlignment="1">
      <alignment vertical="center"/>
    </xf>
    <xf numFmtId="0" fontId="13" fillId="24" borderId="0" applyAlignment="1">
      <alignment vertical="center"/>
    </xf>
    <xf numFmtId="0" fontId="9" fillId="27" borderId="0" applyAlignment="1">
      <alignment vertical="center"/>
    </xf>
    <xf numFmtId="0" fontId="9" fillId="28" borderId="0" applyAlignment="1">
      <alignment vertical="center"/>
    </xf>
    <xf numFmtId="0" fontId="13" fillId="29" borderId="0" applyAlignment="1">
      <alignment vertical="center"/>
    </xf>
    <xf numFmtId="0" fontId="13" fillId="30" borderId="0" applyAlignment="1">
      <alignment vertical="center"/>
    </xf>
    <xf numFmtId="0" fontId="9" fillId="5" borderId="0" applyAlignment="1">
      <alignment vertical="center"/>
    </xf>
    <xf numFmtId="0" fontId="9" fillId="26" borderId="0" applyAlignment="1">
      <alignment vertical="center"/>
    </xf>
    <xf numFmtId="0" fontId="13" fillId="23" borderId="0" applyAlignment="1">
      <alignment vertical="center"/>
    </xf>
    <xf numFmtId="0" fontId="9" fillId="22" borderId="0" applyAlignment="1">
      <alignment vertical="center"/>
    </xf>
    <xf numFmtId="0" fontId="13" fillId="21" borderId="0" applyAlignment="1">
      <alignment vertical="center"/>
    </xf>
    <xf numFmtId="0" fontId="13" fillId="9" borderId="0" applyAlignment="1">
      <alignment vertical="center"/>
    </xf>
    <xf numFmtId="0" fontId="9" fillId="8" borderId="0" applyAlignment="1">
      <alignment vertical="center"/>
    </xf>
    <xf numFmtId="0" fontId="13" fillId="20" borderId="0" applyAlignment="1">
      <alignment vertical="center"/>
    </xf>
    <xf numFmtId="0" fontId="9" fillId="31" borderId="0" applyAlignment="1">
      <alignment vertical="center"/>
    </xf>
    <xf numFmtId="0" fontId="9" fillId="19" borderId="0" applyAlignment="1">
      <alignment vertical="center"/>
    </xf>
    <xf numFmtId="0" fontId="13" fillId="32" borderId="0" applyAlignment="1">
      <alignment vertical="center"/>
    </xf>
    <xf numFmtId="0" fontId="9" fillId="33" borderId="0" applyAlignment="1">
      <alignment vertical="center"/>
    </xf>
  </cellStyleXfs>
  <cellXfs count="48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2">
      <protection locked="0" hidden="0"/>
    </xf>
    <xf numFmtId="165" fontId="2" fillId="0" borderId="0" applyProtection="1" pivotButton="0" quotePrefix="0" xfId="2">
      <protection locked="0" hidden="0"/>
    </xf>
    <xf numFmtId="166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8" fontId="0" fillId="0" borderId="0" pivotButton="0" quotePrefix="0" xfId="2"/>
    <xf numFmtId="0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3" fontId="0" fillId="0" borderId="0" applyProtection="1" pivotButton="0" quotePrefix="0" xfId="2">
      <protection locked="0" hidden="0"/>
    </xf>
    <xf numFmtId="0" fontId="0" fillId="0" borderId="0" applyProtection="1" pivotButton="0" quotePrefix="0" xfId="0">
      <protection locked="0" hidden="0"/>
    </xf>
    <xf numFmtId="165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2"/>
    <xf numFmtId="165" fontId="0" fillId="2" borderId="0" pivotButton="0" quotePrefix="0" xfId="2"/>
    <xf numFmtId="0" fontId="3" fillId="0" borderId="0" pivotButton="0" quotePrefix="0" xfId="0"/>
    <xf numFmtId="43" fontId="0" fillId="0" borderId="0" pivotButton="0" quotePrefix="0" xfId="2"/>
    <xf numFmtId="165" fontId="0" fillId="0" borderId="0" pivotButton="0" quotePrefix="0" xfId="2"/>
    <xf numFmtId="3" fontId="0" fillId="0" borderId="0" pivotButton="0" quotePrefix="0" xfId="0"/>
    <xf numFmtId="4" fontId="0" fillId="0" borderId="0" pivotButton="0" quotePrefix="0" xfId="0"/>
    <xf numFmtId="165" fontId="0" fillId="0" borderId="0" pivotButton="0" quotePrefix="0" xfId="2"/>
    <xf numFmtId="165" fontId="0" fillId="0" borderId="0" pivotButton="0" quotePrefix="0" xfId="0"/>
    <xf numFmtId="167" fontId="0" fillId="0" borderId="0" pivotButton="0" quotePrefix="0" xfId="2"/>
    <xf numFmtId="167" fontId="0" fillId="0" borderId="0" pivotButton="0" quotePrefix="0" xfId="0"/>
    <xf numFmtId="165" fontId="0" fillId="2" borderId="0" pivotButton="0" quotePrefix="0" xfId="2"/>
    <xf numFmtId="166" fontId="0" fillId="0" borderId="0" pivotButton="0" quotePrefix="0" xfId="0"/>
    <xf numFmtId="168" fontId="0" fillId="0" borderId="0" pivotButton="0" quotePrefix="0" xfId="2"/>
    <xf numFmtId="165" fontId="0" fillId="0" borderId="0" applyProtection="1" pivotButton="0" quotePrefix="0" xfId="2">
      <protection locked="0" hidden="0"/>
    </xf>
    <xf numFmtId="165" fontId="0" fillId="2" borderId="0" applyProtection="1" pivotButton="0" quotePrefix="0" xfId="2">
      <protection locked="0" hidden="0"/>
    </xf>
    <xf numFmtId="165" fontId="0" fillId="0" borderId="0" applyProtection="1" pivotButton="0" quotePrefix="0" xfId="0">
      <protection locked="0" hidden="0"/>
    </xf>
    <xf numFmtId="165" fontId="2" fillId="0" borderId="0" applyProtection="1" pivotButton="0" quotePrefix="0" xfId="2">
      <protection locked="0" hidden="0"/>
    </xf>
    <xf numFmtId="164" fontId="0" fillId="0" borderId="0" applyAlignment="1" pivotButton="0" quotePrefix="0" xfId="0">
      <alignment wrapText="1"/>
    </xf>
    <xf numFmtId="169" fontId="0" fillId="0" borderId="0" pivotButton="0" quotePrefix="0" xfId="0"/>
    <xf numFmtId="165" fontId="0" fillId="0" borderId="0" applyAlignment="1" pivotButton="0" quotePrefix="0" xfId="0">
      <alignment wrapText="1"/>
    </xf>
    <xf numFmtId="165" fontId="0" fillId="2" borderId="0" applyProtection="1" pivotButton="0" quotePrefix="0" xfId="0">
      <protection locked="0" hidden="0"/>
    </xf>
    <xf numFmtId="165" fontId="2" fillId="0" borderId="0" applyProtection="1" pivotButton="0" quotePrefix="0" xfId="0">
      <protection locked="0" hidden="0"/>
    </xf>
    <xf numFmtId="43" fontId="0" fillId="0" borderId="0" applyProtection="1" pivotButton="0" quotePrefix="0" xfId="0">
      <protection locked="0" hidden="0"/>
    </xf>
    <xf numFmtId="168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E15" sqref="E15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8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26" t="n">
        <v>1145.67</v>
      </c>
      <c r="C3" s="26" t="n">
        <v>1587.59</v>
      </c>
      <c r="D3" s="26" t="n">
        <v>20812</v>
      </c>
      <c r="E3" s="26">
        <f>SUM(B3:D3)</f>
        <v/>
      </c>
      <c r="H3" t="inlineStr">
        <is>
          <t>VN</t>
        </is>
      </c>
      <c r="I3" s="29" t="n">
        <v>36624.51</v>
      </c>
      <c r="J3" s="25" t="inlineStr">
        <is>
          <t>$</t>
        </is>
      </c>
      <c r="K3" t="inlineStr">
        <is>
          <t>Indo</t>
        </is>
      </c>
      <c r="L3" s="29" t="n">
        <v>51307.24</v>
      </c>
      <c r="M3" s="25" t="inlineStr">
        <is>
          <t>$</t>
        </is>
      </c>
    </row>
    <row r="4">
      <c r="A4" t="inlineStr">
        <is>
          <t>VH2</t>
        </is>
      </c>
      <c r="B4" s="26" t="n">
        <v>1539.31</v>
      </c>
      <c r="C4" s="26" t="n">
        <v>949.9400000000001</v>
      </c>
      <c r="D4" s="26" t="n">
        <v>10590</v>
      </c>
      <c r="E4" s="26">
        <f>SUM(B4:D4)</f>
        <v/>
      </c>
      <c r="J4" s="25" t="inlineStr">
        <is>
          <t>$</t>
        </is>
      </c>
    </row>
    <row r="5">
      <c r="A5" t="inlineStr">
        <is>
          <t>JV</t>
        </is>
      </c>
      <c r="B5" s="26" t="n">
        <v>582.24</v>
      </c>
      <c r="C5" s="26" t="n">
        <v>14448.25</v>
      </c>
      <c r="D5" s="26" t="n">
        <v>20941</v>
      </c>
      <c r="E5" s="26">
        <f>SUM(B5:D5)</f>
        <v/>
      </c>
      <c r="J5" s="25" t="inlineStr">
        <is>
          <t>$</t>
        </is>
      </c>
    </row>
    <row r="6">
      <c r="A6" t="inlineStr">
        <is>
          <t>JV2</t>
        </is>
      </c>
      <c r="B6" s="26" t="n">
        <v>109.62</v>
      </c>
      <c r="C6" s="26" t="n">
        <v>2077.13</v>
      </c>
      <c r="D6" s="26" t="n">
        <v>13149</v>
      </c>
      <c r="E6" s="26">
        <f>SUM(B6:D6)</f>
        <v/>
      </c>
    </row>
    <row r="7">
      <c r="A7" t="inlineStr">
        <is>
          <t>CLG</t>
        </is>
      </c>
      <c r="B7" s="26">
        <f>SUM(B3:B6)</f>
        <v/>
      </c>
      <c r="C7" s="26">
        <f>SUM(C3:C6)</f>
        <v/>
      </c>
      <c r="D7" s="26">
        <f>SUM(D3:D6)</f>
        <v/>
      </c>
      <c r="E7" s="26">
        <f>SUM(E3:E6)</f>
        <v/>
      </c>
    </row>
    <row r="8">
      <c r="H8" s="21" t="n"/>
      <c r="I8" s="26" t="n"/>
      <c r="J8" s="26" t="n"/>
    </row>
    <row r="9">
      <c r="G9" t="inlineStr">
        <is>
          <t>BC Grade</t>
        </is>
      </c>
      <c r="H9" t="inlineStr">
        <is>
          <t>Quantity (prs)</t>
        </is>
      </c>
      <c r="I9" s="26" t="n"/>
      <c r="J9" s="26" t="n"/>
    </row>
    <row r="10">
      <c r="G10" t="inlineStr">
        <is>
          <t>JV2</t>
        </is>
      </c>
      <c r="H10">
        <f>11+53.5+36</f>
        <v/>
      </c>
      <c r="I10" s="26" t="n"/>
      <c r="J10" s="26" t="n"/>
    </row>
    <row r="11">
      <c r="A11" t="inlineStr">
        <is>
          <t>Rework</t>
        </is>
      </c>
      <c r="B11" t="inlineStr">
        <is>
          <t>Number of lines</t>
        </is>
      </c>
      <c r="G11" t="inlineStr">
        <is>
          <t>JV</t>
        </is>
      </c>
      <c r="H11">
        <f>256.5+103+359</f>
        <v/>
      </c>
    </row>
    <row r="12">
      <c r="A12" t="inlineStr">
        <is>
          <t>JV2</t>
        </is>
      </c>
      <c r="B12" t="n">
        <v>27</v>
      </c>
      <c r="G12" t="inlineStr">
        <is>
          <t>VH2</t>
        </is>
      </c>
      <c r="H12">
        <f>33.5+7.5+5+6</f>
        <v/>
      </c>
    </row>
    <row r="13">
      <c r="A13" t="inlineStr">
        <is>
          <t>JV</t>
        </is>
      </c>
      <c r="B13" t="n">
        <v>43</v>
      </c>
      <c r="G13" t="inlineStr">
        <is>
          <t>VH</t>
        </is>
      </c>
      <c r="H13">
        <f>21+6+20+23+9</f>
        <v/>
      </c>
    </row>
    <row r="14">
      <c r="A14" t="inlineStr">
        <is>
          <t>VH2</t>
        </is>
      </c>
      <c r="B14" t="n">
        <v>30</v>
      </c>
      <c r="G14" t="inlineStr">
        <is>
          <t>CLG</t>
        </is>
      </c>
      <c r="H14">
        <f>SUM(H10:H13)</f>
        <v/>
      </c>
    </row>
    <row r="15">
      <c r="A15" t="inlineStr">
        <is>
          <t>VH</t>
        </is>
      </c>
      <c r="B15" t="n">
        <v>43</v>
      </c>
    </row>
    <row r="16">
      <c r="A16" t="inlineStr">
        <is>
          <t>CLG</t>
        </is>
      </c>
      <c r="B16">
        <f>SUM(B12:B15)</f>
        <v/>
      </c>
    </row>
    <row r="18">
      <c r="A18" t="inlineStr">
        <is>
          <t>Re-Inspection</t>
        </is>
      </c>
      <c r="B18" t="inlineStr">
        <is>
          <t>Defective Q'ty (prs)</t>
        </is>
      </c>
    </row>
    <row r="19">
      <c r="A19" t="inlineStr">
        <is>
          <t>JV2</t>
        </is>
      </c>
      <c r="B19" t="n">
        <v>1648</v>
      </c>
    </row>
    <row r="20">
      <c r="A20" t="inlineStr">
        <is>
          <t>JV</t>
        </is>
      </c>
      <c r="B20" t="n">
        <v>14229</v>
      </c>
    </row>
    <row r="21">
      <c r="A21" t="inlineStr">
        <is>
          <t>VH2</t>
        </is>
      </c>
      <c r="B21" t="n">
        <v>56083</v>
      </c>
    </row>
    <row r="22">
      <c r="A22" t="inlineStr">
        <is>
          <t>VH</t>
        </is>
      </c>
      <c r="B22" t="n">
        <v>50424</v>
      </c>
    </row>
    <row r="23">
      <c r="A23" t="inlineStr">
        <is>
          <t>CLG</t>
        </is>
      </c>
      <c r="B23">
        <f>SUM(B19:B22)</f>
        <v/>
      </c>
    </row>
    <row r="26">
      <c r="A26" t="inlineStr">
        <is>
          <t>Re-Inspection</t>
        </is>
      </c>
      <c r="B26" t="inlineStr">
        <is>
          <t>Manpower</t>
        </is>
      </c>
    </row>
    <row r="27">
      <c r="A27" t="inlineStr">
        <is>
          <t>JV2</t>
        </is>
      </c>
      <c r="B27" t="n">
        <v>48</v>
      </c>
    </row>
    <row r="28">
      <c r="A28" t="inlineStr">
        <is>
          <t>JV</t>
        </is>
      </c>
      <c r="B28" t="n">
        <v>245</v>
      </c>
    </row>
    <row r="29">
      <c r="A29" t="inlineStr">
        <is>
          <t>VH2</t>
        </is>
      </c>
      <c r="B29" t="n">
        <v>282</v>
      </c>
    </row>
    <row r="30">
      <c r="A30" t="inlineStr">
        <is>
          <t>VH</t>
        </is>
      </c>
      <c r="B30" t="n">
        <v>938</v>
      </c>
    </row>
    <row r="31">
      <c r="A31" t="inlineStr">
        <is>
          <t>CLG</t>
        </is>
      </c>
      <c r="B31">
        <f>SUM(B27:B30)</f>
        <v/>
      </c>
    </row>
    <row r="34">
      <c r="A34" t="inlineStr">
        <is>
          <t>Re-Inspection</t>
        </is>
      </c>
      <c r="B34" t="inlineStr">
        <is>
          <t>Work time (hrs)</t>
        </is>
      </c>
    </row>
    <row r="35">
      <c r="A35" t="inlineStr">
        <is>
          <t>JV2</t>
        </is>
      </c>
      <c r="B35" t="n">
        <v>27</v>
      </c>
    </row>
    <row r="36">
      <c r="A36" t="inlineStr">
        <is>
          <t>JV</t>
        </is>
      </c>
      <c r="B36" t="n">
        <v>92.7</v>
      </c>
    </row>
    <row r="37">
      <c r="A37" t="inlineStr">
        <is>
          <t>VH2</t>
        </is>
      </c>
      <c r="B37" t="n">
        <v>282.1</v>
      </c>
    </row>
    <row r="38">
      <c r="A38" t="inlineStr">
        <is>
          <t>VH</t>
        </is>
      </c>
      <c r="B38" t="n">
        <v>149.6</v>
      </c>
    </row>
    <row r="39">
      <c r="A39" t="inlineStr">
        <is>
          <t>CLG</t>
        </is>
      </c>
      <c r="B39">
        <f>SUM(B35:B38)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topLeftCell="A18" workbookViewId="0">
      <selection activeCell="J21" sqref="J21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5"/>
    <col width="10.1833333333333" customWidth="1" style="20" min="9" max="9"/>
    <col width="10.0916666666667" customWidth="1" style="20" min="10" max="10"/>
    <col width="9.81666666666667" customWidth="1" style="20" min="11" max="11"/>
    <col width="9.90833333333333" customWidth="1" style="20" min="12" max="12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Re-inspection</t>
        </is>
      </c>
      <c r="C2" s="21" t="inlineStr">
        <is>
          <t>B/C Grade</t>
        </is>
      </c>
      <c r="D2" s="21" t="inlineStr">
        <is>
          <t>Rework</t>
        </is>
      </c>
      <c r="E2" t="inlineStr">
        <is>
          <t>Total cost ($)</t>
        </is>
      </c>
      <c r="H2" t="inlineStr">
        <is>
          <t>Factory</t>
        </is>
      </c>
      <c r="I2" t="inlineStr">
        <is>
          <t>Total cost ($)</t>
        </is>
      </c>
      <c r="K2" t="inlineStr">
        <is>
          <t>Factory</t>
        </is>
      </c>
      <c r="L2" t="inlineStr">
        <is>
          <t>Total cost ($)</t>
        </is>
      </c>
    </row>
    <row r="3">
      <c r="A3" t="inlineStr">
        <is>
          <t>VH</t>
        </is>
      </c>
      <c r="B3" s="30" t="n">
        <v>1474.9</v>
      </c>
      <c r="C3" s="30" t="n">
        <v>1948.69</v>
      </c>
      <c r="D3" s="30" t="n">
        <v>18392</v>
      </c>
      <c r="E3" s="30">
        <f>SUM(B3:D3)</f>
        <v/>
      </c>
      <c r="H3" t="inlineStr">
        <is>
          <t>VN</t>
        </is>
      </c>
      <c r="I3" s="31">
        <f>E3+E4+E5+E6</f>
        <v/>
      </c>
      <c r="J3" s="25" t="n"/>
      <c r="K3" t="inlineStr">
        <is>
          <t>Indo</t>
        </is>
      </c>
      <c r="L3" s="31">
        <f>E7+E8+E9</f>
        <v/>
      </c>
      <c r="M3" s="25" t="n"/>
    </row>
    <row r="4">
      <c r="A4" t="inlineStr">
        <is>
          <t>VH2</t>
        </is>
      </c>
      <c r="B4" s="30" t="n">
        <v>1049.7</v>
      </c>
      <c r="C4" s="30" t="n">
        <v>1275.14</v>
      </c>
      <c r="D4" s="30" t="n">
        <v>11649</v>
      </c>
      <c r="E4" s="30">
        <f>SUM(B4:D4)</f>
        <v/>
      </c>
      <c r="J4" s="25" t="n"/>
    </row>
    <row r="5">
      <c r="A5" t="inlineStr">
        <is>
          <t>VH3</t>
        </is>
      </c>
      <c r="B5" s="30" t="n">
        <v>30.81</v>
      </c>
      <c r="C5" s="30" t="n"/>
      <c r="D5" s="30" t="n"/>
      <c r="E5" s="30">
        <f>SUM(B5:D5)</f>
        <v/>
      </c>
      <c r="J5" s="25" t="n"/>
    </row>
    <row r="6">
      <c r="A6" t="inlineStr">
        <is>
          <t>VH4</t>
        </is>
      </c>
      <c r="B6" s="30" t="n"/>
      <c r="C6" s="30" t="n"/>
      <c r="D6" s="30" t="n"/>
      <c r="E6" s="30">
        <f>SUM(B6:D6)</f>
        <v/>
      </c>
    </row>
    <row r="7">
      <c r="A7" t="inlineStr">
        <is>
          <t>JV</t>
        </is>
      </c>
      <c r="B7" s="30" t="n">
        <v>580.62</v>
      </c>
      <c r="C7" s="30" t="n">
        <v>45154.98</v>
      </c>
      <c r="D7" s="30" t="n">
        <v>20812</v>
      </c>
      <c r="E7" s="30">
        <f>SUM(B7:D7)</f>
        <v/>
      </c>
    </row>
    <row r="8">
      <c r="A8" t="inlineStr">
        <is>
          <t>JV2</t>
        </is>
      </c>
      <c r="B8" s="30" t="n">
        <v>119.77</v>
      </c>
      <c r="C8" s="30" t="n">
        <v>1673.55</v>
      </c>
      <c r="D8" s="30" t="n">
        <v>13149</v>
      </c>
      <c r="E8" s="30">
        <f>SUM(B8:D8)</f>
        <v/>
      </c>
      <c r="H8" s="21" t="n"/>
      <c r="I8" s="26" t="n"/>
      <c r="J8" s="26" t="n"/>
    </row>
    <row r="9">
      <c r="A9" t="inlineStr">
        <is>
          <t>JVB</t>
        </is>
      </c>
      <c r="B9" s="30" t="n">
        <v>361.31</v>
      </c>
      <c r="C9" s="30" t="n"/>
      <c r="D9" s="30" t="n"/>
      <c r="E9" s="30">
        <f>SUM(B9:D9)</f>
        <v/>
      </c>
      <c r="I9" s="26" t="n"/>
      <c r="J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SUM(B10:D10)</f>
        <v/>
      </c>
      <c r="I10" s="26" t="n"/>
      <c r="J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84.5</v>
      </c>
    </row>
    <row r="17">
      <c r="A17" t="inlineStr">
        <is>
          <t>JV</t>
        </is>
      </c>
      <c r="B17" t="n">
        <v>43</v>
      </c>
      <c r="D17" t="inlineStr">
        <is>
          <t>JV</t>
        </is>
      </c>
      <c r="E17" t="n">
        <v>2343</v>
      </c>
    </row>
    <row r="18">
      <c r="A18" t="inlineStr">
        <is>
          <t>VH2</t>
        </is>
      </c>
      <c r="B18" t="n">
        <v>33</v>
      </c>
      <c r="D18" t="inlineStr">
        <is>
          <t>VH2</t>
        </is>
      </c>
      <c r="E18" t="n">
        <v>67</v>
      </c>
    </row>
    <row r="19">
      <c r="A19" t="inlineStr">
        <is>
          <t>VH</t>
        </is>
      </c>
      <c r="B19" t="n">
        <v>38</v>
      </c>
      <c r="C19" t="inlineStr">
        <is>
          <t>(k tính E5)</t>
        </is>
      </c>
      <c r="D19" t="inlineStr">
        <is>
          <t>VH</t>
        </is>
      </c>
      <c r="E19" t="n">
        <v>89.5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Defective Q'ty (prs)</t>
        </is>
      </c>
    </row>
    <row r="23">
      <c r="A23" t="inlineStr">
        <is>
          <t>JVB</t>
        </is>
      </c>
      <c r="B23" s="32" t="n">
        <v>5429</v>
      </c>
    </row>
    <row r="24">
      <c r="A24" t="inlineStr">
        <is>
          <t>JV2</t>
        </is>
      </c>
      <c r="B24" s="32" t="n">
        <v>3168</v>
      </c>
    </row>
    <row r="25">
      <c r="A25" t="inlineStr">
        <is>
          <t>JV</t>
        </is>
      </c>
      <c r="B25" s="32" t="n">
        <v>15244</v>
      </c>
    </row>
    <row r="26">
      <c r="A26" t="inlineStr">
        <is>
          <t>VH3</t>
        </is>
      </c>
      <c r="B26" s="32" t="n">
        <v>930</v>
      </c>
    </row>
    <row r="27">
      <c r="A27" t="inlineStr">
        <is>
          <t>VH2</t>
        </is>
      </c>
      <c r="B27" s="32" t="n">
        <v>45046</v>
      </c>
    </row>
    <row r="28">
      <c r="A28" t="inlineStr">
        <is>
          <t>VH</t>
        </is>
      </c>
      <c r="B28" s="32" t="n">
        <v>57350</v>
      </c>
    </row>
    <row r="29">
      <c r="A29" t="inlineStr">
        <is>
          <t>CLG</t>
        </is>
      </c>
      <c r="B29" s="33">
        <f>SUM(B23:B28)</f>
        <v/>
      </c>
    </row>
    <row r="31">
      <c r="A31" t="inlineStr">
        <is>
          <t>Re-Inspection</t>
        </is>
      </c>
      <c r="B31" t="inlineStr">
        <is>
          <t>Manpower</t>
        </is>
      </c>
    </row>
    <row r="32">
      <c r="A32" t="inlineStr">
        <is>
          <t>JVB</t>
        </is>
      </c>
      <c r="B32" s="32" t="n">
        <v>118</v>
      </c>
    </row>
    <row r="33">
      <c r="A33" t="inlineStr">
        <is>
          <t>JV2</t>
        </is>
      </c>
      <c r="B33" s="32" t="n">
        <v>55</v>
      </c>
    </row>
    <row r="34">
      <c r="A34" t="inlineStr">
        <is>
          <t>JV</t>
        </is>
      </c>
      <c r="B34" s="32" t="n">
        <v>350</v>
      </c>
    </row>
    <row r="35">
      <c r="A35" t="inlineStr">
        <is>
          <t>VH3</t>
        </is>
      </c>
      <c r="B35" s="32" t="n">
        <v>2</v>
      </c>
    </row>
    <row r="36">
      <c r="A36" t="inlineStr">
        <is>
          <t>VH2</t>
        </is>
      </c>
      <c r="B36" s="32" t="n">
        <v>177</v>
      </c>
    </row>
    <row r="37">
      <c r="A37" t="inlineStr">
        <is>
          <t>VH</t>
        </is>
      </c>
      <c r="B37" s="32" t="n">
        <v>1027</v>
      </c>
    </row>
    <row r="38">
      <c r="A38" t="inlineStr">
        <is>
          <t>CLG</t>
        </is>
      </c>
      <c r="B38" s="32">
        <f>SUM(B32:B37)</f>
        <v/>
      </c>
    </row>
    <row r="40">
      <c r="A40" t="inlineStr">
        <is>
          <t>Re-Inspection</t>
        </is>
      </c>
      <c r="B40" t="inlineStr">
        <is>
          <t>Work time (hrs)</t>
        </is>
      </c>
    </row>
    <row r="41">
      <c r="A41" t="inlineStr">
        <is>
          <t>JVB</t>
        </is>
      </c>
      <c r="B41" t="n">
        <v>75.5</v>
      </c>
    </row>
    <row r="42">
      <c r="A42" t="inlineStr">
        <is>
          <t>JV2</t>
        </is>
      </c>
      <c r="B42" t="n">
        <v>30</v>
      </c>
    </row>
    <row r="43">
      <c r="A43" t="inlineStr">
        <is>
          <t>JV</t>
        </is>
      </c>
      <c r="B43" t="n">
        <v>98.8</v>
      </c>
    </row>
    <row r="44">
      <c r="A44" t="inlineStr">
        <is>
          <t>VH3</t>
        </is>
      </c>
      <c r="B44" t="n">
        <v>12</v>
      </c>
    </row>
    <row r="45">
      <c r="A45" t="inlineStr">
        <is>
          <t>VH2</t>
        </is>
      </c>
      <c r="B45" t="n">
        <v>183.2</v>
      </c>
    </row>
    <row r="46">
      <c r="A46" t="inlineStr">
        <is>
          <t>VH</t>
        </is>
      </c>
      <c r="B46" t="n">
        <v>173.5</v>
      </c>
    </row>
    <row r="47">
      <c r="A47" t="inlineStr">
        <is>
          <t>CLG</t>
        </is>
      </c>
      <c r="B47">
        <f>SUM(B41:B46)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E23" sqref="E23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2.1833333333333" customWidth="1" style="20" min="3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4105.88</v>
      </c>
      <c r="C3" s="30" t="n">
        <v>1320.87</v>
      </c>
      <c r="D3" s="30" t="n">
        <v>2245.21</v>
      </c>
      <c r="E3" s="30">
        <f>484*39</f>
        <v/>
      </c>
      <c r="F3" s="30">
        <f>SUM(B3:E3)</f>
        <v/>
      </c>
      <c r="G3" s="34" t="n">
        <v>5426.75</v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1809.31</v>
      </c>
      <c r="D4" s="30" t="n">
        <v>1052.82</v>
      </c>
      <c r="E4" s="30" t="n">
        <v>10590</v>
      </c>
      <c r="F4" s="30">
        <f>SUM(B4:E4)</f>
        <v/>
      </c>
      <c r="G4" s="34" t="n">
        <v>1809.31</v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 t="n"/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1505.625</v>
      </c>
      <c r="D6" s="30" t="n"/>
      <c r="E6" s="30" t="n"/>
      <c r="F6" s="30">
        <f>SUM(B6:E6)</f>
        <v/>
      </c>
      <c r="G6" s="34" t="n">
        <v>1505.625</v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454.52</v>
      </c>
      <c r="C7" s="30" t="n">
        <v>1424.32</v>
      </c>
      <c r="D7" s="30" t="n">
        <v>21974.19</v>
      </c>
      <c r="E7" s="30" t="n">
        <v>19967</v>
      </c>
      <c r="F7" s="30">
        <f>SUM(B7:E7)</f>
        <v/>
      </c>
      <c r="G7" s="34" t="n">
        <v>1878.84</v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93.38</v>
      </c>
      <c r="D8" s="30" t="n">
        <v>1877.01</v>
      </c>
      <c r="E8" s="30" t="n">
        <v>13149</v>
      </c>
      <c r="F8" s="30">
        <f>SUM(B8:E8)</f>
        <v/>
      </c>
      <c r="G8" s="34" t="n">
        <v>93.38</v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848.3200000000001</v>
      </c>
      <c r="C9" s="30" t="n">
        <v>310.59</v>
      </c>
      <c r="D9" s="30" t="n"/>
      <c r="E9" s="30" t="n"/>
      <c r="F9" s="30">
        <f>SUM(B9:E9)</f>
        <v/>
      </c>
      <c r="G9" s="34" t="n">
        <v>1158.91</v>
      </c>
      <c r="J9" s="26" t="n"/>
      <c r="K9" s="26" t="n"/>
    </row>
    <row r="10">
      <c r="A10" t="inlineStr">
        <is>
          <t>CLG</t>
        </is>
      </c>
      <c r="B10" s="30" t="n">
        <v>5408.72</v>
      </c>
      <c r="C10" s="30" t="n">
        <v>6464.095</v>
      </c>
      <c r="D10" s="30" t="n">
        <v>27149.23</v>
      </c>
      <c r="E10" s="30" t="n">
        <v>62582</v>
      </c>
      <c r="F10" s="30">
        <f>SUM(B10:E10)</f>
        <v/>
      </c>
      <c r="G10" s="34">
        <f>SUM(G3:G9)</f>
        <v/>
      </c>
      <c r="J10" s="26" t="n"/>
      <c r="K10" s="26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88</v>
      </c>
    </row>
    <row r="17">
      <c r="A17" t="inlineStr">
        <is>
          <t>JV</t>
        </is>
      </c>
      <c r="B17" t="n">
        <v>41</v>
      </c>
      <c r="D17" t="inlineStr">
        <is>
          <t>JV</t>
        </is>
      </c>
      <c r="E17" s="28" t="n">
        <v>1102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57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99.5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3" t="n">
        <v>6447</v>
      </c>
      <c r="D23" t="inlineStr">
        <is>
          <t>JVB</t>
        </is>
      </c>
      <c r="E23" s="32" t="n">
        <v>62477</v>
      </c>
      <c r="F23" s="32" t="n"/>
    </row>
    <row r="24">
      <c r="A24" t="inlineStr">
        <is>
          <t>JV2</t>
        </is>
      </c>
      <c r="B24" s="32" t="n">
        <v>2192</v>
      </c>
      <c r="D24" t="inlineStr">
        <is>
          <t>JV</t>
        </is>
      </c>
      <c r="E24" s="32" t="n">
        <v>6950</v>
      </c>
    </row>
    <row r="25">
      <c r="A25" t="inlineStr">
        <is>
          <t>JV</t>
        </is>
      </c>
      <c r="B25" s="32" t="n">
        <v>26024</v>
      </c>
      <c r="D25" t="inlineStr">
        <is>
          <t>VH4</t>
        </is>
      </c>
      <c r="E25" s="32" t="n">
        <v>9377</v>
      </c>
    </row>
    <row r="26">
      <c r="A26" t="inlineStr">
        <is>
          <t>VH2</t>
        </is>
      </c>
      <c r="B26" s="32" t="n">
        <v>77910</v>
      </c>
      <c r="D26" t="inlineStr">
        <is>
          <t>VH</t>
        </is>
      </c>
      <c r="E26" s="32" t="n">
        <v>31689</v>
      </c>
    </row>
    <row r="27">
      <c r="A27" t="inlineStr">
        <is>
          <t>VH</t>
        </is>
      </c>
      <c r="B27" s="32" t="n">
        <v>54043</v>
      </c>
      <c r="D27" t="inlineStr">
        <is>
          <t>CLG</t>
        </is>
      </c>
      <c r="E27" s="33">
        <f>SUM(E23:E26)</f>
        <v/>
      </c>
    </row>
    <row r="28">
      <c r="A28" t="inlineStr">
        <is>
          <t>CLG</t>
        </is>
      </c>
      <c r="B28" s="33">
        <f>SUM(B23:B27)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t="n">
        <v>73.5</v>
      </c>
      <c r="D33" t="inlineStr">
        <is>
          <t>JVB</t>
        </is>
      </c>
      <c r="E33" t="n">
        <v>97.5</v>
      </c>
    </row>
    <row r="34">
      <c r="A34" t="inlineStr">
        <is>
          <t>JV2</t>
        </is>
      </c>
      <c r="B34" t="n">
        <v>23</v>
      </c>
      <c r="D34" t="inlineStr">
        <is>
          <t>JV</t>
        </is>
      </c>
      <c r="E34" t="n">
        <v>28</v>
      </c>
    </row>
    <row r="35">
      <c r="A35" t="inlineStr">
        <is>
          <t>JV</t>
        </is>
      </c>
      <c r="B35" t="n">
        <v>173.4</v>
      </c>
      <c r="D35" t="inlineStr">
        <is>
          <t>VH4</t>
        </is>
      </c>
      <c r="E35" t="n">
        <v>197.1</v>
      </c>
    </row>
    <row r="36">
      <c r="A36" t="inlineStr">
        <is>
          <t>VH2</t>
        </is>
      </c>
      <c r="B36" t="n">
        <v>368.3</v>
      </c>
      <c r="D36" t="inlineStr">
        <is>
          <t>VH</t>
        </is>
      </c>
      <c r="E36" t="n">
        <v>201.5</v>
      </c>
    </row>
    <row r="37">
      <c r="A37" t="inlineStr">
        <is>
          <t>VH</t>
        </is>
      </c>
      <c r="B37" t="n">
        <v>199</v>
      </c>
      <c r="D37" t="inlineStr">
        <is>
          <t>CLG</t>
        </is>
      </c>
      <c r="E37">
        <f>SUM(E33:E36)</f>
        <v/>
      </c>
    </row>
    <row r="38">
      <c r="A38" t="inlineStr">
        <is>
          <t>CLG</t>
        </is>
      </c>
      <c r="B38">
        <f>SUM(B33:B37)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F26" sqref="F26"/>
    </sheetView>
  </sheetViews>
  <sheetFormatPr baseColWidth="8" defaultColWidth="9" defaultRowHeight="14.25"/>
  <cols>
    <col width="12.1833333333333" customWidth="1" style="20" min="1" max="1"/>
    <col width="13.2666666666667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t="n">
        <v>8758.530000000001</v>
      </c>
      <c r="C3" s="30" t="n">
        <v>1358.56</v>
      </c>
      <c r="D3" s="30" t="n">
        <v>1878.2</v>
      </c>
      <c r="E3" s="30" t="n">
        <v>18876</v>
      </c>
      <c r="F3" s="30">
        <f>SUM(C3:E3)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/>
      <c r="C4" s="30" t="n">
        <v>10122.27</v>
      </c>
      <c r="D4" s="30" t="n">
        <v>1503.67</v>
      </c>
      <c r="E4" s="30" t="n">
        <v>10590</v>
      </c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41.08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136.875</v>
      </c>
      <c r="C6" s="30" t="n">
        <v>2681.875</v>
      </c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1293.95</v>
      </c>
      <c r="C7" s="30" t="n">
        <v>2516.79</v>
      </c>
      <c r="D7" s="30" t="n">
        <v>9627.10999999997</v>
      </c>
      <c r="E7" s="30" t="n">
        <v>19480</v>
      </c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119.75</v>
      </c>
      <c r="D8" s="30" t="n">
        <v>948.09</v>
      </c>
      <c r="E8" s="30" t="n">
        <v>13149</v>
      </c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5626.05</v>
      </c>
      <c r="C9" s="30" t="n">
        <v>532.6900000000001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4">
      <c r="I14" t="n">
        <v>2818.75</v>
      </c>
      <c r="J14" t="inlineStr">
        <is>
          <t>Hour</t>
        </is>
      </c>
      <c r="K14" t="inlineStr">
        <is>
          <t>Pairs</t>
        </is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  <c r="I15" t="n">
        <v>2818.75</v>
      </c>
      <c r="J15" t="n">
        <v>451</v>
      </c>
      <c r="K15" t="n">
        <v>19323</v>
      </c>
    </row>
    <row r="16">
      <c r="A16" t="inlineStr">
        <is>
          <t>JV2</t>
        </is>
      </c>
      <c r="B16" t="n">
        <v>27</v>
      </c>
      <c r="D16" t="inlineStr">
        <is>
          <t>JV2</t>
        </is>
      </c>
      <c r="E16" t="n">
        <v>45.5</v>
      </c>
    </row>
    <row r="17">
      <c r="A17" t="inlineStr">
        <is>
          <t>JV</t>
        </is>
      </c>
      <c r="B17" t="n">
        <v>40</v>
      </c>
      <c r="D17" t="inlineStr">
        <is>
          <t>JV</t>
        </is>
      </c>
      <c r="E17" s="35" t="n">
        <v>504.5</v>
      </c>
    </row>
    <row r="18">
      <c r="A18" t="inlineStr">
        <is>
          <t>VH2</t>
        </is>
      </c>
      <c r="B18" t="n">
        <v>30</v>
      </c>
      <c r="D18" t="inlineStr">
        <is>
          <t>VH2</t>
        </is>
      </c>
      <c r="E18" t="n">
        <v>85.5</v>
      </c>
    </row>
    <row r="19">
      <c r="A19" t="inlineStr">
        <is>
          <t>VH</t>
        </is>
      </c>
      <c r="B19" t="n">
        <v>39</v>
      </c>
      <c r="D19" t="inlineStr">
        <is>
          <t>VH</t>
        </is>
      </c>
      <c r="E19" t="n">
        <v>94.5</v>
      </c>
    </row>
    <row r="20">
      <c r="A20" t="inlineStr">
        <is>
          <t>CLG</t>
        </is>
      </c>
      <c r="B20">
        <f>SUM(B16:B19)</f>
        <v/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Touch-up</t>
        </is>
      </c>
      <c r="E22" t="inlineStr">
        <is>
          <t>Quantity (prs)</t>
        </is>
      </c>
    </row>
    <row r="23">
      <c r="A23" t="inlineStr">
        <is>
          <t>JVB</t>
        </is>
      </c>
      <c r="B23" s="32" t="n">
        <v>30087</v>
      </c>
      <c r="D23" t="inlineStr">
        <is>
          <t>JVB</t>
        </is>
      </c>
      <c r="E23" s="32" t="n">
        <v>230730</v>
      </c>
      <c r="F23" s="32" t="n"/>
    </row>
    <row r="24">
      <c r="A24" t="inlineStr">
        <is>
          <t>JV2</t>
        </is>
      </c>
      <c r="B24" s="32" t="n">
        <v>1712</v>
      </c>
      <c r="D24" t="inlineStr">
        <is>
          <t>JV</t>
        </is>
      </c>
      <c r="E24" s="32" t="n">
        <v>22485</v>
      </c>
    </row>
    <row r="25">
      <c r="A25" t="inlineStr">
        <is>
          <t>JV</t>
        </is>
      </c>
      <c r="B25" s="32" t="n">
        <v>30302</v>
      </c>
      <c r="D25" t="inlineStr">
        <is>
          <t>VH4</t>
        </is>
      </c>
      <c r="E25" s="32" t="n">
        <v>621</v>
      </c>
    </row>
    <row r="26">
      <c r="A26" t="inlineStr">
        <is>
          <t>VH4</t>
        </is>
      </c>
      <c r="B26" s="33" t="n">
        <v>18702</v>
      </c>
      <c r="D26" t="inlineStr">
        <is>
          <t>VH</t>
        </is>
      </c>
      <c r="E26" s="32" t="n">
        <v>90249</v>
      </c>
    </row>
    <row r="27">
      <c r="A27" t="inlineStr">
        <is>
          <t>VH3</t>
        </is>
      </c>
      <c r="B27" s="32" t="n">
        <v>2369</v>
      </c>
      <c r="D27" t="inlineStr">
        <is>
          <t>CLG</t>
        </is>
      </c>
      <c r="E27" s="33">
        <f>SUM(E23:E26)</f>
        <v/>
      </c>
    </row>
    <row r="28">
      <c r="A28" t="inlineStr">
        <is>
          <t>VH2</t>
        </is>
      </c>
      <c r="B28" s="32" t="n">
        <v>175978</v>
      </c>
    </row>
    <row r="29">
      <c r="A29" t="inlineStr">
        <is>
          <t>VH</t>
        </is>
      </c>
      <c r="B29" s="32" t="n">
        <v>59287</v>
      </c>
    </row>
    <row r="30">
      <c r="A30" t="inlineStr">
        <is>
          <t>CLG</t>
        </is>
      </c>
      <c r="B30" s="33">
        <f>SUM(B23:B29)</f>
        <v/>
      </c>
    </row>
    <row r="32">
      <c r="A32" t="inlineStr">
        <is>
          <t>Re-Inspection</t>
        </is>
      </c>
      <c r="B32" t="inlineStr">
        <is>
          <t>Work time (hrs)</t>
        </is>
      </c>
      <c r="D32" t="inlineStr">
        <is>
          <t>Touch-up</t>
        </is>
      </c>
      <c r="E32" t="inlineStr">
        <is>
          <t>Work time (hrs)</t>
        </is>
      </c>
    </row>
    <row r="33">
      <c r="A33" t="inlineStr">
        <is>
          <t>JVB</t>
        </is>
      </c>
      <c r="B33" s="36" t="n">
        <v>80.5</v>
      </c>
      <c r="D33" t="inlineStr">
        <is>
          <t>JVB</t>
        </is>
      </c>
      <c r="E33" t="n">
        <v>334</v>
      </c>
    </row>
    <row r="34">
      <c r="A34" t="inlineStr">
        <is>
          <t>JV2</t>
        </is>
      </c>
      <c r="B34" s="36" t="n">
        <v>17</v>
      </c>
      <c r="D34" t="inlineStr">
        <is>
          <t>JV</t>
        </is>
      </c>
      <c r="E34" t="n">
        <v>83.10000000000019</v>
      </c>
    </row>
    <row r="35">
      <c r="A35" t="inlineStr">
        <is>
          <t>JV</t>
        </is>
      </c>
      <c r="B35" s="36" t="n">
        <v>232.3</v>
      </c>
      <c r="D35" t="inlineStr">
        <is>
          <t>VH4</t>
        </is>
      </c>
      <c r="E35" t="n">
        <v>21.9</v>
      </c>
    </row>
    <row r="36">
      <c r="A36" t="inlineStr">
        <is>
          <t>VH4</t>
        </is>
      </c>
      <c r="B36" s="36" t="n">
        <v>429.1</v>
      </c>
      <c r="D36" t="inlineStr">
        <is>
          <t>VH</t>
        </is>
      </c>
      <c r="E36" t="n">
        <v>416</v>
      </c>
    </row>
    <row r="37">
      <c r="A37" t="inlineStr">
        <is>
          <t>VH3</t>
        </is>
      </c>
      <c r="B37" s="36" t="n">
        <v>14.5</v>
      </c>
      <c r="D37" t="inlineStr">
        <is>
          <t>CLG</t>
        </is>
      </c>
      <c r="E37">
        <f>SUM(E33:E36)</f>
        <v/>
      </c>
    </row>
    <row r="38">
      <c r="A38" t="inlineStr">
        <is>
          <t>VH2</t>
        </is>
      </c>
      <c r="B38" s="36" t="n">
        <v>905.399999999999</v>
      </c>
    </row>
    <row r="39">
      <c r="A39" t="inlineStr">
        <is>
          <t>VH</t>
        </is>
      </c>
      <c r="B39" s="36" t="n">
        <v>185.7</v>
      </c>
    </row>
    <row r="40">
      <c r="A40" t="inlineStr">
        <is>
          <t>CLG</t>
        </is>
      </c>
      <c r="B40" s="36">
        <f>SUM(B33:B39)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C9" sqref="C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9560.080000000011</v>
      </c>
      <c r="C3" s="30" t="n">
        <v>1753.09</v>
      </c>
      <c r="D3" s="30" t="n">
        <v>1944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10593.62</v>
      </c>
      <c r="C4" s="30" t="n">
        <v>1097.01</v>
      </c>
      <c r="D4" s="30" t="n">
        <v>1877.25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28.88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4160.625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2520.16</v>
      </c>
      <c r="C7" s="30" t="n">
        <v>2862.63</v>
      </c>
      <c r="D7" s="30" t="n">
        <v>18389.09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137.4</v>
      </c>
      <c r="D8" s="30" t="n">
        <v>1213.99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>
        <v>33018.72</v>
      </c>
      <c r="C9" s="30" t="n">
        <v>743.6799999999999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59.5</v>
      </c>
    </row>
    <row r="17">
      <c r="A17" t="inlineStr">
        <is>
          <t>JV</t>
        </is>
      </c>
      <c r="D17" t="inlineStr">
        <is>
          <t>JV</t>
        </is>
      </c>
      <c r="E17" s="35" t="n">
        <v>931</v>
      </c>
    </row>
    <row r="18">
      <c r="A18" t="inlineStr">
        <is>
          <t>VH2</t>
        </is>
      </c>
      <c r="D18" t="inlineStr">
        <is>
          <t>VH2</t>
        </is>
      </c>
      <c r="E18" t="n">
        <v>108</v>
      </c>
    </row>
    <row r="19">
      <c r="A19" t="inlineStr">
        <is>
          <t>VH</t>
        </is>
      </c>
      <c r="D19" t="inlineStr">
        <is>
          <t>VH</t>
        </is>
      </c>
      <c r="E19" t="n">
        <v>103.5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62275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4416</v>
      </c>
      <c r="D24" t="inlineStr">
        <is>
          <t>JV2</t>
        </is>
      </c>
      <c r="E24" s="36" t="n">
        <v>36</v>
      </c>
    </row>
    <row r="25">
      <c r="A25" t="inlineStr">
        <is>
          <t>JV</t>
        </is>
      </c>
      <c r="B25" s="32" t="n">
        <v>27208</v>
      </c>
      <c r="D25" t="inlineStr">
        <is>
          <t>JV</t>
        </is>
      </c>
      <c r="E25" s="36" t="n">
        <v>408.3</v>
      </c>
    </row>
    <row r="26">
      <c r="A26" t="inlineStr">
        <is>
          <t>VH3</t>
        </is>
      </c>
      <c r="B26" s="32" t="n">
        <v>2146</v>
      </c>
      <c r="D26" t="inlineStr">
        <is>
          <t>VH3</t>
        </is>
      </c>
      <c r="E26" s="36" t="n">
        <v>8.5</v>
      </c>
    </row>
    <row r="27">
      <c r="A27" t="inlineStr">
        <is>
          <t>VH2</t>
        </is>
      </c>
      <c r="B27" s="32" t="n">
        <v>41407</v>
      </c>
      <c r="D27" t="inlineStr">
        <is>
          <t>VH2</t>
        </is>
      </c>
      <c r="E27" s="36" t="n">
        <v>201.7</v>
      </c>
    </row>
    <row r="28">
      <c r="A28" t="inlineStr">
        <is>
          <t>VH</t>
        </is>
      </c>
      <c r="B28" s="32" t="n">
        <v>52610</v>
      </c>
      <c r="D28" t="inlineStr">
        <is>
          <t>VH</t>
        </is>
      </c>
      <c r="E28" s="36" t="n">
        <v>215.000000000001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301331</v>
      </c>
      <c r="D32" t="inlineStr">
        <is>
          <t>JVB</t>
        </is>
      </c>
      <c r="E32" t="n">
        <v>347.5</v>
      </c>
    </row>
    <row r="33">
      <c r="A33" t="inlineStr">
        <is>
          <t>JV</t>
        </is>
      </c>
      <c r="B33" s="32" t="n">
        <v>39506</v>
      </c>
      <c r="D33" t="inlineStr">
        <is>
          <t>JV</t>
        </is>
      </c>
      <c r="E33" t="n">
        <v>157.5</v>
      </c>
    </row>
    <row r="34">
      <c r="A34" t="inlineStr">
        <is>
          <t>VH4</t>
        </is>
      </c>
      <c r="B34" s="33" t="n">
        <v>29087</v>
      </c>
      <c r="D34" t="inlineStr">
        <is>
          <t>VH4</t>
        </is>
      </c>
      <c r="E34" s="36" t="n">
        <v>665.7</v>
      </c>
    </row>
    <row r="35">
      <c r="A35" t="inlineStr">
        <is>
          <t>VH2</t>
        </is>
      </c>
      <c r="B35" t="n">
        <v>144294</v>
      </c>
      <c r="D35" t="inlineStr">
        <is>
          <t>VH2</t>
        </is>
      </c>
      <c r="E35" t="n">
        <v>849.5</v>
      </c>
    </row>
    <row r="36">
      <c r="A36" t="inlineStr">
        <is>
          <t>VH</t>
        </is>
      </c>
      <c r="B36" s="32" t="n">
        <v>104670</v>
      </c>
      <c r="D36" t="inlineStr">
        <is>
          <t>VH</t>
        </is>
      </c>
      <c r="E36" t="n">
        <v>535.5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G20" sqref="G2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9.9083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9272.850000000009</v>
      </c>
      <c r="C3" s="30" t="n">
        <v>1979.36</v>
      </c>
      <c r="D3" s="30" t="n">
        <v>1539.8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12225.8</v>
      </c>
      <c r="C4" s="30" t="n">
        <v>630.17</v>
      </c>
      <c r="D4" s="30" t="n">
        <v>1624.3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/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4730.625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1631.45</v>
      </c>
      <c r="C7" s="30" t="n">
        <v>5378.72</v>
      </c>
      <c r="D7" s="30" t="n">
        <v>28206.2399999999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113.68</v>
      </c>
      <c r="D8" s="30" t="n">
        <v>1099.76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760.99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  <c r="M12" t="n">
        <v>37190.84</v>
      </c>
    </row>
    <row r="13">
      <c r="L13" s="31" t="n"/>
    </row>
    <row r="14">
      <c r="J14" t="n">
        <v>69193.745</v>
      </c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53.5</v>
      </c>
    </row>
    <row r="17">
      <c r="A17" t="inlineStr">
        <is>
          <t>JV</t>
        </is>
      </c>
      <c r="D17" t="inlineStr">
        <is>
          <t>JV</t>
        </is>
      </c>
      <c r="E17" s="35" t="n">
        <v>1437.5</v>
      </c>
    </row>
    <row r="18">
      <c r="A18" t="inlineStr">
        <is>
          <t>VH2</t>
        </is>
      </c>
      <c r="D18" t="inlineStr">
        <is>
          <t>VH2</t>
        </is>
      </c>
      <c r="E18" t="n">
        <v>85</v>
      </c>
    </row>
    <row r="19">
      <c r="A19" t="inlineStr">
        <is>
          <t>VH</t>
        </is>
      </c>
      <c r="D19" t="inlineStr">
        <is>
          <t>VH</t>
        </is>
      </c>
      <c r="E19" t="n">
        <v>83.5</v>
      </c>
    </row>
    <row r="20">
      <c r="A20" t="inlineStr">
        <is>
          <t>CLG</t>
        </is>
      </c>
      <c r="D20" t="inlineStr">
        <is>
          <t>CLG</t>
        </is>
      </c>
      <c r="E20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359664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2137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64079</v>
      </c>
      <c r="D25" t="inlineStr">
        <is>
          <t>JV</t>
        </is>
      </c>
      <c r="E25" s="36" t="n">
        <v>352.1</v>
      </c>
    </row>
    <row r="26">
      <c r="A26" t="inlineStr">
        <is>
          <t>VH3</t>
        </is>
      </c>
      <c r="B26" s="32" t="n"/>
      <c r="D26" t="inlineStr">
        <is>
          <t>VH3</t>
        </is>
      </c>
      <c r="E26" s="36" t="n"/>
    </row>
    <row r="27">
      <c r="A27" t="inlineStr">
        <is>
          <t>VH2</t>
        </is>
      </c>
      <c r="B27" s="32" t="n">
        <v>17427</v>
      </c>
      <c r="D27" t="inlineStr">
        <is>
          <t>VH2</t>
        </is>
      </c>
      <c r="E27" s="36" t="n">
        <v>122.7</v>
      </c>
    </row>
    <row r="28">
      <c r="A28" t="inlineStr">
        <is>
          <t>VH</t>
        </is>
      </c>
      <c r="B28" s="32" t="n">
        <v>63516</v>
      </c>
      <c r="D28" t="inlineStr">
        <is>
          <t>VH</t>
        </is>
      </c>
      <c r="E28" s="36" t="n">
        <v>211.3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26623</v>
      </c>
      <c r="D33" t="inlineStr">
        <is>
          <t>JV</t>
        </is>
      </c>
      <c r="E33" t="n">
        <v>101.5</v>
      </c>
    </row>
    <row r="34">
      <c r="A34" t="inlineStr">
        <is>
          <t>VH4</t>
        </is>
      </c>
      <c r="B34" s="33" t="n">
        <v>31495</v>
      </c>
      <c r="D34" t="inlineStr">
        <is>
          <t>VH4</t>
        </is>
      </c>
      <c r="E34" s="36" t="n">
        <v>756.9</v>
      </c>
    </row>
    <row r="35">
      <c r="A35" t="inlineStr">
        <is>
          <t>VH2</t>
        </is>
      </c>
      <c r="B35" t="n">
        <v>206285</v>
      </c>
      <c r="D35" t="inlineStr">
        <is>
          <t>VH2</t>
        </is>
      </c>
      <c r="E35" t="n">
        <v>982.3</v>
      </c>
    </row>
    <row r="36">
      <c r="A36" t="inlineStr">
        <is>
          <t>VH</t>
        </is>
      </c>
      <c r="B36" s="32" t="n">
        <v>114875</v>
      </c>
      <c r="D36" t="inlineStr">
        <is>
          <t>VH</t>
        </is>
      </c>
      <c r="E36" t="n">
        <v>511.5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B10" sqref="B10:F10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9711.420000000009</v>
      </c>
      <c r="C3" s="30" t="n">
        <v>2123.64</v>
      </c>
      <c r="D3" s="30" t="n">
        <v>1685.89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10409.7</v>
      </c>
      <c r="C4" s="30" t="n">
        <v>665.42</v>
      </c>
      <c r="D4" s="30" t="n">
        <v>1479.95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34.66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3532.5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431.18</v>
      </c>
      <c r="C7" s="30" t="n">
        <v>5725.61</v>
      </c>
      <c r="D7" s="30" t="n">
        <v>118338.75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119.77</v>
      </c>
      <c r="D8" s="30" t="n">
        <v>991.15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714.34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49</v>
      </c>
    </row>
    <row r="17">
      <c r="A17" t="inlineStr">
        <is>
          <t>JV</t>
        </is>
      </c>
      <c r="D17" t="inlineStr">
        <is>
          <t>JV</t>
        </is>
      </c>
      <c r="E17" s="35" t="n">
        <v>6078.5</v>
      </c>
    </row>
    <row r="18">
      <c r="A18" t="inlineStr">
        <is>
          <t>VH2</t>
        </is>
      </c>
      <c r="D18" t="inlineStr">
        <is>
          <t>VH2</t>
        </is>
      </c>
      <c r="E18" s="35" t="n">
        <v>78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256576</v>
      </c>
      <c r="D23" t="inlineStr">
        <is>
          <t>JVB</t>
        </is>
      </c>
      <c r="E23" s="36" t="n">
        <v>90</v>
      </c>
      <c r="F23" s="32" t="n"/>
    </row>
    <row r="24">
      <c r="A24" t="inlineStr">
        <is>
          <t>JV2</t>
        </is>
      </c>
      <c r="B24" s="32" t="n">
        <v>2138</v>
      </c>
      <c r="D24" t="inlineStr">
        <is>
          <t>JV2</t>
        </is>
      </c>
      <c r="E24" s="36" t="n">
        <v>32</v>
      </c>
    </row>
    <row r="25">
      <c r="A25" t="inlineStr">
        <is>
          <t>JV</t>
        </is>
      </c>
      <c r="B25" s="32" t="n">
        <v>88258</v>
      </c>
      <c r="D25" t="inlineStr">
        <is>
          <t>JV</t>
        </is>
      </c>
      <c r="E25" s="36" t="n">
        <v>426.6</v>
      </c>
    </row>
    <row r="26">
      <c r="A26" t="inlineStr">
        <is>
          <t>VH3</t>
        </is>
      </c>
      <c r="B26" s="32" t="n">
        <v>3455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16820</v>
      </c>
      <c r="D27" t="inlineStr">
        <is>
          <t>VH2</t>
        </is>
      </c>
      <c r="E27" s="36" t="n">
        <v>122.5</v>
      </c>
    </row>
    <row r="28">
      <c r="A28" t="inlineStr">
        <is>
          <t>VH</t>
        </is>
      </c>
      <c r="B28" s="32" t="n">
        <v>44890</v>
      </c>
      <c r="D28" t="inlineStr">
        <is>
          <t>VH</t>
        </is>
      </c>
      <c r="E28" s="36" t="n">
        <v>144.5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>
        <v>0</v>
      </c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7174</v>
      </c>
      <c r="D33" t="inlineStr">
        <is>
          <t>JV</t>
        </is>
      </c>
      <c r="E33" t="n">
        <v>27.5</v>
      </c>
    </row>
    <row r="34">
      <c r="A34" t="inlineStr">
        <is>
          <t>VH4</t>
        </is>
      </c>
      <c r="B34" s="33" t="n">
        <v>24601</v>
      </c>
      <c r="D34" t="inlineStr">
        <is>
          <t>VH4</t>
        </is>
      </c>
      <c r="E34" s="36" t="n">
        <v>565.2</v>
      </c>
    </row>
    <row r="35">
      <c r="A35" t="inlineStr">
        <is>
          <t>VH2</t>
        </is>
      </c>
      <c r="B35" s="32" t="n">
        <v>186664</v>
      </c>
      <c r="D35" t="inlineStr">
        <is>
          <t>VH2</t>
        </is>
      </c>
      <c r="E35" t="n">
        <v>732.6</v>
      </c>
    </row>
    <row r="36">
      <c r="A36" t="inlineStr">
        <is>
          <t>VH</t>
        </is>
      </c>
      <c r="B36" s="32" t="n">
        <v>114036</v>
      </c>
      <c r="D36" t="inlineStr">
        <is>
          <t>VH</t>
        </is>
      </c>
      <c r="E36" s="36" t="n">
        <v>521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0" zoomScale="85" zoomScaleNormal="85" workbookViewId="0">
      <selection activeCell="M32" sqref="M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5705.62</v>
      </c>
      <c r="C3" s="30" t="n">
        <v>1348.96</v>
      </c>
      <c r="D3" s="30" t="n">
        <v>1270.48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7998.1</v>
      </c>
      <c r="C4" s="30" t="n">
        <v>695.320000000001</v>
      </c>
      <c r="D4" s="30" t="n">
        <v>1148.79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8.859999999999999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2710.625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314.73</v>
      </c>
      <c r="C7" s="30" t="n">
        <v>3974.27</v>
      </c>
      <c r="D7" s="30" t="n">
        <v>115145.92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154.28</v>
      </c>
      <c r="D8" s="30" t="n">
        <v>729.6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2407.68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37.5</v>
      </c>
    </row>
    <row r="17">
      <c r="A17" t="inlineStr">
        <is>
          <t>JV</t>
        </is>
      </c>
      <c r="D17" t="inlineStr">
        <is>
          <t>JV</t>
        </is>
      </c>
      <c r="E17" s="35" t="n">
        <v>5958</v>
      </c>
    </row>
    <row r="18">
      <c r="A18" t="inlineStr">
        <is>
          <t>VH2</t>
        </is>
      </c>
      <c r="D18" t="inlineStr">
        <is>
          <t>VH2</t>
        </is>
      </c>
      <c r="E18" s="35" t="n">
        <v>63</v>
      </c>
    </row>
    <row r="19">
      <c r="A19" t="inlineStr">
        <is>
          <t>VH</t>
        </is>
      </c>
      <c r="D19" t="inlineStr">
        <is>
          <t>VH</t>
        </is>
      </c>
      <c r="E19" s="35" t="n">
        <v>68.5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236662</v>
      </c>
      <c r="D23" t="inlineStr">
        <is>
          <t>JVB</t>
        </is>
      </c>
      <c r="E23" s="36" t="n">
        <v>205</v>
      </c>
      <c r="F23" s="32" t="n"/>
    </row>
    <row r="24">
      <c r="A24" t="inlineStr">
        <is>
          <t>JV2</t>
        </is>
      </c>
      <c r="B24" s="32" t="n">
        <v>3351</v>
      </c>
      <c r="D24" t="inlineStr">
        <is>
          <t>JV2</t>
        </is>
      </c>
      <c r="E24" s="36" t="n">
        <v>42</v>
      </c>
    </row>
    <row r="25">
      <c r="A25" t="inlineStr">
        <is>
          <t>JV</t>
        </is>
      </c>
      <c r="B25" s="32" t="n">
        <v>57122</v>
      </c>
      <c r="D25" t="inlineStr">
        <is>
          <t>JV</t>
        </is>
      </c>
      <c r="E25" s="36" t="n">
        <v>375.4</v>
      </c>
    </row>
    <row r="26">
      <c r="A26" t="inlineStr">
        <is>
          <t>VH3</t>
        </is>
      </c>
      <c r="B26" s="32" t="n">
        <v>1043</v>
      </c>
      <c r="D26" t="inlineStr">
        <is>
          <t>VH3</t>
        </is>
      </c>
      <c r="E26" s="36" t="n">
        <v>5.6</v>
      </c>
    </row>
    <row r="27">
      <c r="A27" t="inlineStr">
        <is>
          <t>VH2</t>
        </is>
      </c>
      <c r="B27" s="32" t="n">
        <v>29127</v>
      </c>
      <c r="D27" t="inlineStr">
        <is>
          <t>VH2</t>
        </is>
      </c>
      <c r="E27" s="36" t="n">
        <v>128.3</v>
      </c>
    </row>
    <row r="28">
      <c r="A28" t="inlineStr">
        <is>
          <t>VH</t>
        </is>
      </c>
      <c r="B28" s="32" t="n">
        <v>21971</v>
      </c>
      <c r="D28" t="inlineStr">
        <is>
          <t>VH</t>
        </is>
      </c>
      <c r="E28" s="36" t="n">
        <v>84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  <c r="E32" t="n">
        <v>0</v>
      </c>
    </row>
    <row r="33">
      <c r="A33" t="inlineStr">
        <is>
          <t>JV</t>
        </is>
      </c>
      <c r="B33" s="32" t="n">
        <v>5095</v>
      </c>
      <c r="D33" t="inlineStr">
        <is>
          <t>JV</t>
        </is>
      </c>
      <c r="E33" t="n">
        <v>21.7</v>
      </c>
    </row>
    <row r="34">
      <c r="A34" t="inlineStr">
        <is>
          <t>VH4</t>
        </is>
      </c>
      <c r="B34" s="32" t="n">
        <v>15895</v>
      </c>
      <c r="D34" t="inlineStr">
        <is>
          <t>VH4</t>
        </is>
      </c>
      <c r="E34" t="n">
        <v>433.7</v>
      </c>
    </row>
    <row r="35">
      <c r="A35" t="inlineStr">
        <is>
          <t>VH2</t>
        </is>
      </c>
      <c r="B35" s="32" t="n">
        <v>139290</v>
      </c>
      <c r="D35" t="inlineStr">
        <is>
          <t>VH2</t>
        </is>
      </c>
      <c r="E35" t="n">
        <v>576.7</v>
      </c>
    </row>
    <row r="36">
      <c r="A36" t="inlineStr">
        <is>
          <t>VH</t>
        </is>
      </c>
      <c r="B36" s="32" t="n">
        <v>61874</v>
      </c>
      <c r="D36" t="inlineStr">
        <is>
          <t>VH</t>
        </is>
      </c>
      <c r="E36" s="36" t="n">
        <v>382.5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85" zoomScaleNormal="85" workbookViewId="0">
      <selection activeCell="E18" sqref="E1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6279.23000000001</v>
      </c>
      <c r="C3" s="30" t="n">
        <v>2420.01</v>
      </c>
      <c r="D3" s="30" t="n">
        <v>1439.11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7951.28</v>
      </c>
      <c r="C4" s="30" t="n">
        <v>479.26</v>
      </c>
      <c r="D4" s="30" t="n">
        <v>618.12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43.63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2658.125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604.74</v>
      </c>
      <c r="C7" s="30" t="n">
        <v>4386.88</v>
      </c>
      <c r="D7" s="30" t="n">
        <v>150856.8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133.98</v>
      </c>
      <c r="D8" s="30" t="n">
        <v>1072.79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3068.21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51.5</v>
      </c>
    </row>
    <row r="17">
      <c r="A17" t="inlineStr">
        <is>
          <t>JV</t>
        </is>
      </c>
      <c r="D17" t="inlineStr">
        <is>
          <t>JV</t>
        </is>
      </c>
      <c r="E17" s="35" t="n">
        <v>7869.5</v>
      </c>
    </row>
    <row r="18">
      <c r="A18" t="inlineStr">
        <is>
          <t>VH2</t>
        </is>
      </c>
      <c r="D18" t="inlineStr">
        <is>
          <t>VH2</t>
        </is>
      </c>
      <c r="E18" s="35" t="n">
        <v>32</v>
      </c>
    </row>
    <row r="19">
      <c r="A19" t="inlineStr">
        <is>
          <t>VH</t>
        </is>
      </c>
      <c r="D19" t="inlineStr">
        <is>
          <t>VH</t>
        </is>
      </c>
      <c r="E19" s="35" t="n">
        <v>76.5</v>
      </c>
    </row>
    <row r="20">
      <c r="A20" t="inlineStr">
        <is>
          <t>CLG</t>
        </is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271646</v>
      </c>
      <c r="D23" t="inlineStr">
        <is>
          <t>JVB</t>
        </is>
      </c>
      <c r="E23" s="36" t="n">
        <v>249</v>
      </c>
      <c r="F23" s="32" t="n"/>
    </row>
    <row r="24">
      <c r="A24" t="inlineStr">
        <is>
          <t>JV2</t>
        </is>
      </c>
      <c r="B24" s="32" t="n">
        <v>2391</v>
      </c>
      <c r="D24" t="inlineStr">
        <is>
          <t>JV2</t>
        </is>
      </c>
      <c r="E24" s="36" t="n">
        <v>34</v>
      </c>
    </row>
    <row r="25">
      <c r="A25" t="inlineStr">
        <is>
          <t>JV</t>
        </is>
      </c>
      <c r="B25" s="32" t="n">
        <v>65277</v>
      </c>
      <c r="D25" t="inlineStr">
        <is>
          <t>JV</t>
        </is>
      </c>
      <c r="E25" s="36" t="n">
        <v>451.1</v>
      </c>
    </row>
    <row r="26">
      <c r="A26" t="inlineStr">
        <is>
          <t>VH3</t>
        </is>
      </c>
      <c r="B26" s="32" t="n">
        <v>4745</v>
      </c>
      <c r="D26" t="inlineStr">
        <is>
          <t>VH3</t>
        </is>
      </c>
      <c r="E26" s="36" t="n">
        <v>15.4</v>
      </c>
    </row>
    <row r="27">
      <c r="A27" t="inlineStr">
        <is>
          <t>VH2</t>
        </is>
      </c>
      <c r="B27" s="32" t="n">
        <v>25164</v>
      </c>
      <c r="D27" t="inlineStr">
        <is>
          <t>VH2</t>
        </is>
      </c>
      <c r="E27" s="36" t="n">
        <v>71</v>
      </c>
    </row>
    <row r="28">
      <c r="A28" t="inlineStr">
        <is>
          <t>VH</t>
        </is>
      </c>
      <c r="B28" s="32" t="n">
        <v>44470</v>
      </c>
      <c r="D28" t="inlineStr">
        <is>
          <t>VH</t>
        </is>
      </c>
      <c r="E28" s="36" t="n">
        <v>151.3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5742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16549</v>
      </c>
      <c r="D34" t="inlineStr">
        <is>
          <t>VH4</t>
        </is>
      </c>
      <c r="E34" t="n">
        <v>425.3</v>
      </c>
    </row>
    <row r="35">
      <c r="A35" t="inlineStr">
        <is>
          <t>VH2</t>
        </is>
      </c>
      <c r="B35" s="32" t="n">
        <v>87980</v>
      </c>
      <c r="D35" t="inlineStr">
        <is>
          <t>VH2</t>
        </is>
      </c>
      <c r="E35" t="n">
        <v>594.4</v>
      </c>
    </row>
    <row r="36">
      <c r="A36" t="inlineStr">
        <is>
          <t>VH</t>
        </is>
      </c>
      <c r="B36" s="32" t="n">
        <v>72029</v>
      </c>
      <c r="D36" t="inlineStr">
        <is>
          <t>VH</t>
        </is>
      </c>
      <c r="E36" s="36" t="n">
        <v>388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45" zoomScaleNormal="145" workbookViewId="0">
      <selection activeCell="H27" sqref="H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t="inlineStr">
        <is>
          <t>COPQ Overview (Based on Jun 2024)</t>
        </is>
      </c>
    </row>
    <row r="2">
      <c r="A2" t="inlineStr">
        <is>
          <t>Factory</t>
        </is>
      </c>
      <c r="B2" s="21" t="inlineStr">
        <is>
          <t>Touch up paint</t>
        </is>
      </c>
      <c r="C2" s="21" t="inlineStr">
        <is>
          <t>Re-inspection</t>
        </is>
      </c>
      <c r="D2" s="21" t="inlineStr">
        <is>
          <t>B/C Grade</t>
        </is>
      </c>
      <c r="E2" s="21" t="inlineStr">
        <is>
          <t>Rework</t>
        </is>
      </c>
      <c r="F2" t="inlineStr">
        <is>
          <t>Total cost ($)</t>
        </is>
      </c>
      <c r="G2" s="22" t="inlineStr">
        <is>
          <t>Reinspection+Bottom touch up paint</t>
        </is>
      </c>
      <c r="I2" t="inlineStr">
        <is>
          <t>Factory</t>
        </is>
      </c>
      <c r="J2" t="inlineStr">
        <is>
          <t>Total cost ($)</t>
        </is>
      </c>
      <c r="L2" t="inlineStr">
        <is>
          <t>Factory</t>
        </is>
      </c>
      <c r="M2" t="inlineStr">
        <is>
          <t>Total cost ($)</t>
        </is>
      </c>
    </row>
    <row r="3">
      <c r="A3" t="inlineStr">
        <is>
          <t>VH</t>
        </is>
      </c>
      <c r="B3" s="30" t="n">
        <v>6433.92</v>
      </c>
      <c r="C3" s="30" t="n">
        <v>1916.68</v>
      </c>
      <c r="D3" s="30" t="n">
        <v>1620.6</v>
      </c>
      <c r="E3" s="30" t="n"/>
      <c r="F3" s="30">
        <f>SUM(B3:E3)</f>
        <v/>
      </c>
      <c r="G3" s="34">
        <f>B3+C3</f>
        <v/>
      </c>
      <c r="I3" t="inlineStr">
        <is>
          <t>VN</t>
        </is>
      </c>
      <c r="J3" s="31">
        <f>F3+F4+F5+F6</f>
        <v/>
      </c>
      <c r="K3" s="25" t="n"/>
      <c r="L3" t="inlineStr">
        <is>
          <t>Indo</t>
        </is>
      </c>
      <c r="M3" s="31">
        <f>F7+F8+F9</f>
        <v/>
      </c>
      <c r="N3" s="25" t="n"/>
    </row>
    <row r="4">
      <c r="A4" t="inlineStr">
        <is>
          <t>VH2</t>
        </is>
      </c>
      <c r="B4" s="30" t="n">
        <v>9990.21000000001</v>
      </c>
      <c r="C4" s="30" t="n">
        <v>218.8</v>
      </c>
      <c r="D4" s="30" t="n">
        <v>697.67</v>
      </c>
      <c r="E4" s="30" t="n"/>
      <c r="F4" s="30">
        <f>SUM(B4:E4)</f>
        <v/>
      </c>
      <c r="G4" s="34">
        <f>B4+C4</f>
        <v/>
      </c>
      <c r="K4" s="25" t="n"/>
    </row>
    <row r="5">
      <c r="A5" t="inlineStr">
        <is>
          <t>VH3</t>
        </is>
      </c>
      <c r="B5" s="30" t="n"/>
      <c r="C5" s="30" t="n">
        <v>9.109999999999999</v>
      </c>
      <c r="D5" s="30" t="n"/>
      <c r="E5" s="30" t="n"/>
      <c r="F5" s="30">
        <f>SUM(B5:E5)</f>
        <v/>
      </c>
      <c r="G5" s="34">
        <f>B5+C5</f>
        <v/>
      </c>
      <c r="J5" t="inlineStr">
        <is>
          <t>Factory</t>
        </is>
      </c>
      <c r="K5" s="25" t="inlineStr">
        <is>
          <t>Total cost ($)</t>
        </is>
      </c>
    </row>
    <row r="6">
      <c r="A6" t="inlineStr">
        <is>
          <t>VH4</t>
        </is>
      </c>
      <c r="B6" s="30" t="n">
        <v>3504.375</v>
      </c>
      <c r="C6" s="30" t="n"/>
      <c r="D6" s="30" t="n"/>
      <c r="E6" s="30" t="n"/>
      <c r="F6" s="30">
        <f>SUM(B6:E6)</f>
        <v/>
      </c>
      <c r="G6" s="34">
        <f>B6+C6</f>
        <v/>
      </c>
      <c r="J6" t="inlineStr">
        <is>
          <t>VN</t>
        </is>
      </c>
      <c r="K6" s="31">
        <f>J3</f>
        <v/>
      </c>
    </row>
    <row r="7">
      <c r="A7" t="inlineStr">
        <is>
          <t>JV</t>
        </is>
      </c>
      <c r="B7" s="30" t="n">
        <v>386.58</v>
      </c>
      <c r="C7" s="30" t="n">
        <v>2862.61</v>
      </c>
      <c r="D7" s="30" t="n">
        <v>29766.09</v>
      </c>
      <c r="E7" s="30" t="n"/>
      <c r="F7" s="30">
        <f>SUM(B7:E7)</f>
        <v/>
      </c>
      <c r="G7" s="34">
        <f>B7+C7</f>
        <v/>
      </c>
      <c r="J7" t="inlineStr">
        <is>
          <t>Indo</t>
        </is>
      </c>
      <c r="K7" s="31">
        <f>M3</f>
        <v/>
      </c>
    </row>
    <row r="8">
      <c r="A8" t="inlineStr">
        <is>
          <t>JV2</t>
        </is>
      </c>
      <c r="B8" s="30" t="n"/>
      <c r="C8" s="30" t="n">
        <v>95.41</v>
      </c>
      <c r="D8" s="30" t="n">
        <v>627.15</v>
      </c>
      <c r="E8" s="30" t="n"/>
      <c r="F8" s="30">
        <f>SUM(B8:E8)</f>
        <v/>
      </c>
      <c r="G8" s="34">
        <f>B8+C8</f>
        <v/>
      </c>
      <c r="I8" s="21" t="n"/>
      <c r="J8" t="inlineStr">
        <is>
          <t>CLG</t>
        </is>
      </c>
      <c r="K8" s="30">
        <f>K6+K7</f>
        <v/>
      </c>
    </row>
    <row r="9">
      <c r="A9" t="inlineStr">
        <is>
          <t>JVB</t>
        </is>
      </c>
      <c r="B9" s="30" t="n"/>
      <c r="C9" s="30" t="n">
        <v>1193.22</v>
      </c>
      <c r="D9" s="30" t="n"/>
      <c r="E9" s="30" t="n"/>
      <c r="F9" s="30">
        <f>SUM(B9:E9)</f>
        <v/>
      </c>
      <c r="G9" s="34">
        <f>B9+C9</f>
        <v/>
      </c>
      <c r="J9" s="26" t="n"/>
      <c r="K9" s="26" t="n"/>
    </row>
    <row r="10">
      <c r="A10" t="inlineStr">
        <is>
          <t>CLG</t>
        </is>
      </c>
      <c r="B10" s="30">
        <f>SUM(B3:B9)</f>
        <v/>
      </c>
      <c r="C10" s="30">
        <f>SUM(C3:C9)</f>
        <v/>
      </c>
      <c r="D10" s="30">
        <f>SUM(D3:D9)</f>
        <v/>
      </c>
      <c r="E10" s="30">
        <f>SUM(E3:E9)</f>
        <v/>
      </c>
      <c r="F10" s="30">
        <f>SUM(B10:E10)</f>
        <v/>
      </c>
      <c r="G10" s="34">
        <f>B10+C10</f>
        <v/>
      </c>
      <c r="J10" s="26" t="n"/>
      <c r="K10" s="26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31.5</v>
      </c>
    </row>
    <row r="17">
      <c r="A17" t="inlineStr">
        <is>
          <t>JV</t>
        </is>
      </c>
      <c r="D17" t="inlineStr">
        <is>
          <t>JV</t>
        </is>
      </c>
      <c r="E17" s="35" t="n">
        <v>1566</v>
      </c>
    </row>
    <row r="18">
      <c r="A18" t="inlineStr">
        <is>
          <t>VH2</t>
        </is>
      </c>
      <c r="D18" t="inlineStr">
        <is>
          <t>VH2</t>
        </is>
      </c>
      <c r="E18" s="35" t="n">
        <v>41</v>
      </c>
    </row>
    <row r="19">
      <c r="A19" t="inlineStr">
        <is>
          <t>VH</t>
        </is>
      </c>
      <c r="D19" t="inlineStr">
        <is>
          <t>VH</t>
        </is>
      </c>
      <c r="E19" s="35" t="n">
        <v>89.5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91041</v>
      </c>
      <c r="D23" t="inlineStr">
        <is>
          <t>JVB</t>
        </is>
      </c>
      <c r="E23" s="36" t="n">
        <v>154.5</v>
      </c>
      <c r="F23" s="32" t="n"/>
    </row>
    <row r="24">
      <c r="A24" t="inlineStr">
        <is>
          <t>JV2</t>
        </is>
      </c>
      <c r="B24" s="32" t="n">
        <v>2581</v>
      </c>
      <c r="D24" t="inlineStr">
        <is>
          <t>JV2</t>
        </is>
      </c>
      <c r="E24" s="36" t="n">
        <v>24</v>
      </c>
    </row>
    <row r="25">
      <c r="A25" t="inlineStr">
        <is>
          <t>JV</t>
        </is>
      </c>
      <c r="B25" s="32" t="n">
        <v>41551</v>
      </c>
      <c r="D25" t="inlineStr">
        <is>
          <t>JV</t>
        </is>
      </c>
      <c r="E25" s="36" t="n">
        <v>285.5</v>
      </c>
    </row>
    <row r="26">
      <c r="A26" t="inlineStr">
        <is>
          <t>VH3</t>
        </is>
      </c>
      <c r="B26" s="32" t="n">
        <v>1398</v>
      </c>
      <c r="D26" t="inlineStr">
        <is>
          <t>VH3</t>
        </is>
      </c>
      <c r="E26" s="36" t="n">
        <v>4.8</v>
      </c>
    </row>
    <row r="27">
      <c r="A27" t="inlineStr">
        <is>
          <t>VH2</t>
        </is>
      </c>
      <c r="B27" s="32" t="n">
        <v>7004</v>
      </c>
      <c r="D27" t="inlineStr">
        <is>
          <t>VH2</t>
        </is>
      </c>
      <c r="E27" s="36" t="n">
        <v>50.7</v>
      </c>
    </row>
    <row r="28">
      <c r="A28" t="inlineStr">
        <is>
          <t>VH</t>
        </is>
      </c>
      <c r="B28" s="32" t="n">
        <v>63182</v>
      </c>
      <c r="D28" t="inlineStr">
        <is>
          <t>VH</t>
        </is>
      </c>
      <c r="E28" s="36" t="n">
        <v>200.4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3836</v>
      </c>
      <c r="D33" t="inlineStr">
        <is>
          <t>JV</t>
        </is>
      </c>
      <c r="E33" t="n">
        <v>30</v>
      </c>
    </row>
    <row r="34">
      <c r="A34" t="inlineStr">
        <is>
          <t>VH4</t>
        </is>
      </c>
      <c r="B34" s="32" t="n">
        <v>26293</v>
      </c>
      <c r="D34" t="inlineStr">
        <is>
          <t>VH4</t>
        </is>
      </c>
      <c r="E34" t="n">
        <v>560.7</v>
      </c>
    </row>
    <row r="35">
      <c r="A35" t="inlineStr">
        <is>
          <t>VH2</t>
        </is>
      </c>
      <c r="B35" s="32" t="n">
        <v>120521</v>
      </c>
      <c r="D35" t="inlineStr">
        <is>
          <t>VH2</t>
        </is>
      </c>
      <c r="E35" t="n">
        <v>778.9</v>
      </c>
    </row>
    <row r="36">
      <c r="A36" t="inlineStr">
        <is>
          <t>VH</t>
        </is>
      </c>
      <c r="B36" s="32" t="n">
        <v>60089</v>
      </c>
      <c r="D36" t="inlineStr">
        <is>
          <t>VH</t>
        </is>
      </c>
      <c r="E36" s="36" t="n">
        <v>453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60" zoomScaleNormal="160"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2906.16</v>
      </c>
      <c r="C3" s="37" t="n">
        <v>5096.01</v>
      </c>
      <c r="D3" s="37" t="n">
        <v>1726.99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746.1799999999999</v>
      </c>
      <c r="C4" s="37" t="n">
        <v>9945.19000000001</v>
      </c>
      <c r="D4" s="37" t="n">
        <v>462.42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>
        <v>1.16</v>
      </c>
      <c r="C5" s="37" t="n">
        <v>3176.875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/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2901.84</v>
      </c>
      <c r="C7" s="37" t="n">
        <v>257.74</v>
      </c>
      <c r="D7" s="37" t="n">
        <v>26792.1799999999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>
        <v>73.08</v>
      </c>
      <c r="C8" s="37" t="n"/>
      <c r="D8" s="37" t="n">
        <v>497.97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>
        <v>768.11</v>
      </c>
      <c r="C9" s="37" t="n"/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27.5</v>
      </c>
    </row>
    <row r="17">
      <c r="A17" t="inlineStr">
        <is>
          <t>JV</t>
        </is>
      </c>
      <c r="D17" t="inlineStr">
        <is>
          <t>JV</t>
        </is>
      </c>
      <c r="E17" s="35" t="n">
        <v>1391</v>
      </c>
    </row>
    <row r="18">
      <c r="A18" t="inlineStr">
        <is>
          <t>VH2</t>
        </is>
      </c>
      <c r="D18" t="inlineStr">
        <is>
          <t>VH2</t>
        </is>
      </c>
      <c r="E18" s="35" t="n">
        <v>24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55267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1586</v>
      </c>
      <c r="D24" t="inlineStr">
        <is>
          <t>JV2</t>
        </is>
      </c>
      <c r="E24" s="36" t="n">
        <v>19</v>
      </c>
    </row>
    <row r="25">
      <c r="A25" t="inlineStr">
        <is>
          <t>JV</t>
        </is>
      </c>
      <c r="B25" s="32" t="n">
        <v>42665</v>
      </c>
      <c r="D25" t="inlineStr">
        <is>
          <t>JV</t>
        </is>
      </c>
      <c r="E25" s="36" t="n">
        <v>302.4</v>
      </c>
    </row>
    <row r="26">
      <c r="A26" t="inlineStr">
        <is>
          <t>VH3</t>
        </is>
      </c>
      <c r="B26" s="32" t="n">
        <v>150</v>
      </c>
      <c r="D26" t="inlineStr">
        <is>
          <t>VH3</t>
        </is>
      </c>
      <c r="E26" s="36" t="n">
        <v>0.3</v>
      </c>
    </row>
    <row r="27">
      <c r="A27" t="inlineStr">
        <is>
          <t>VH2</t>
        </is>
      </c>
      <c r="B27" s="32" t="n">
        <v>28242</v>
      </c>
      <c r="D27" t="inlineStr">
        <is>
          <t>VH2</t>
        </is>
      </c>
      <c r="E27" s="36" t="n">
        <v>119.5</v>
      </c>
    </row>
    <row r="28">
      <c r="A28" t="inlineStr">
        <is>
          <t>VH</t>
        </is>
      </c>
      <c r="B28" s="32" t="n">
        <v>57253</v>
      </c>
      <c r="D28" t="inlineStr">
        <is>
          <t>VH</t>
        </is>
      </c>
      <c r="E28" s="36" t="n">
        <v>178.1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2781</v>
      </c>
      <c r="D33" t="inlineStr">
        <is>
          <t>JV</t>
        </is>
      </c>
      <c r="E33" t="n">
        <v>20.5</v>
      </c>
    </row>
    <row r="34">
      <c r="A34" t="inlineStr">
        <is>
          <t>VH4</t>
        </is>
      </c>
      <c r="B34" s="32" t="n">
        <v>25726</v>
      </c>
      <c r="D34" t="inlineStr">
        <is>
          <t>VH4</t>
        </is>
      </c>
      <c r="E34" t="n">
        <v>508.3</v>
      </c>
    </row>
    <row r="35">
      <c r="A35" t="inlineStr">
        <is>
          <t>VH2</t>
        </is>
      </c>
      <c r="B35" s="32" t="n">
        <v>114718</v>
      </c>
      <c r="D35" t="inlineStr">
        <is>
          <t>VH2</t>
        </is>
      </c>
      <c r="E35" t="n">
        <v>745.4</v>
      </c>
    </row>
    <row r="36">
      <c r="A36" t="inlineStr">
        <is>
          <t>VH</t>
        </is>
      </c>
      <c r="B36" s="32" t="n">
        <v>31627</v>
      </c>
      <c r="D36" t="inlineStr">
        <is>
          <t>VH</t>
        </is>
      </c>
      <c r="E36" s="36" t="n">
        <v>724.5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F19" sqref="F19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1256.54</v>
      </c>
      <c r="C3" s="37" t="n">
        <v>1245.89</v>
      </c>
      <c r="D3" s="37" t="n">
        <v>1509.73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10346.9</v>
      </c>
      <c r="C4" s="37" t="n">
        <v>1917.91</v>
      </c>
      <c r="D4" s="37" t="n">
        <v>366.17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15.4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3408.125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219.2</v>
      </c>
      <c r="C7" s="37" t="n">
        <v>2708.62</v>
      </c>
      <c r="D7" s="37" t="n">
        <v>19262.79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152.25</v>
      </c>
      <c r="D8" s="37" t="n">
        <v>526.4400000000001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1943.01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28</v>
      </c>
    </row>
    <row r="17">
      <c r="A17" t="inlineStr">
        <is>
          <t>JV</t>
        </is>
      </c>
      <c r="D17" t="inlineStr">
        <is>
          <t>JV</t>
        </is>
      </c>
      <c r="E17" s="35" t="n">
        <v>1016.5</v>
      </c>
    </row>
    <row r="18">
      <c r="A18" t="inlineStr">
        <is>
          <t>VH2</t>
        </is>
      </c>
      <c r="D18" t="inlineStr">
        <is>
          <t>VH2</t>
        </is>
      </c>
      <c r="E18" s="35" t="n">
        <v>18.5</v>
      </c>
    </row>
    <row r="19">
      <c r="A19" t="inlineStr">
        <is>
          <t>VH</t>
        </is>
      </c>
      <c r="D19" t="inlineStr">
        <is>
          <t>VH</t>
        </is>
      </c>
      <c r="E19" s="35" t="n">
        <v>86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71373</v>
      </c>
      <c r="D23" t="inlineStr">
        <is>
          <t>JVB</t>
        </is>
      </c>
      <c r="E23" s="36" t="n">
        <v>122</v>
      </c>
      <c r="F23" s="32" t="n"/>
    </row>
    <row r="24">
      <c r="A24" t="inlineStr">
        <is>
          <t>JV2</t>
        </is>
      </c>
      <c r="B24" s="32" t="n">
        <v>3550</v>
      </c>
      <c r="D24" t="inlineStr">
        <is>
          <t>JV2</t>
        </is>
      </c>
      <c r="E24" s="36" t="n">
        <v>40</v>
      </c>
    </row>
    <row r="25">
      <c r="A25" t="inlineStr">
        <is>
          <t>JV</t>
        </is>
      </c>
      <c r="B25" s="32" t="n">
        <v>42595</v>
      </c>
      <c r="D25" t="inlineStr">
        <is>
          <t>JV</t>
        </is>
      </c>
      <c r="E25" s="36" t="n">
        <v>282.2</v>
      </c>
    </row>
    <row r="26">
      <c r="A26" t="inlineStr">
        <is>
          <t>VH3</t>
        </is>
      </c>
      <c r="B26" s="32" t="n">
        <v>1196</v>
      </c>
      <c r="D26" t="inlineStr">
        <is>
          <t>VH3</t>
        </is>
      </c>
      <c r="E26" s="36" t="n">
        <v>6</v>
      </c>
    </row>
    <row r="27">
      <c r="A27" t="inlineStr">
        <is>
          <t>VH2</t>
        </is>
      </c>
      <c r="B27" s="32" t="n">
        <v>37276</v>
      </c>
      <c r="D27" t="inlineStr">
        <is>
          <t>VH2</t>
        </is>
      </c>
      <c r="E27" s="36" t="n">
        <v>200.1</v>
      </c>
    </row>
    <row r="28">
      <c r="A28" t="inlineStr">
        <is>
          <t>VH</t>
        </is>
      </c>
      <c r="B28" s="32" t="n">
        <v>42178</v>
      </c>
      <c r="D28" t="inlineStr">
        <is>
          <t>VH</t>
        </is>
      </c>
      <c r="E28" s="36" t="n">
        <v>129.1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1977</v>
      </c>
      <c r="D33" t="inlineStr">
        <is>
          <t>JV</t>
        </is>
      </c>
      <c r="E33" t="n">
        <v>14.5</v>
      </c>
    </row>
    <row r="34">
      <c r="A34" t="inlineStr">
        <is>
          <t>VH4</t>
        </is>
      </c>
      <c r="B34" s="32" t="n">
        <v>25222</v>
      </c>
      <c r="D34" t="inlineStr">
        <is>
          <t>VH4</t>
        </is>
      </c>
      <c r="E34" t="n">
        <v>545.3</v>
      </c>
    </row>
    <row r="35">
      <c r="A35" t="inlineStr">
        <is>
          <t>VH2</t>
        </is>
      </c>
      <c r="B35" s="32" t="n">
        <v>125322</v>
      </c>
      <c r="D35" t="inlineStr">
        <is>
          <t>VH2</t>
        </is>
      </c>
      <c r="E35" t="n">
        <v>774.2</v>
      </c>
    </row>
    <row r="36">
      <c r="A36" t="inlineStr">
        <is>
          <t>VH</t>
        </is>
      </c>
      <c r="B36" s="32" t="n">
        <v>10675</v>
      </c>
      <c r="D36" t="inlineStr">
        <is>
          <t>VH</t>
        </is>
      </c>
      <c r="E36" s="36" t="n">
        <v>204.5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7" zoomScale="130" zoomScaleNormal="130" workbookViewId="0">
      <selection activeCell="F36" sqref="F36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673.6</v>
      </c>
      <c r="C3" s="37" t="n">
        <v>5394.90999999998</v>
      </c>
      <c r="D3" s="37" t="n">
        <v>1505.94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10197.94</v>
      </c>
      <c r="C4" s="37" t="n">
        <v>234.88</v>
      </c>
      <c r="D4" s="37" t="n">
        <v>87.83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101.8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3312.5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349</v>
      </c>
      <c r="C7" s="37" t="n">
        <v>475.86</v>
      </c>
      <c r="D7" s="37" t="n">
        <v>6745.05000000001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93.38</v>
      </c>
      <c r="D8" s="37" t="n">
        <v>538.6900000000001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887.84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30.5</v>
      </c>
    </row>
    <row r="17">
      <c r="A17" t="inlineStr">
        <is>
          <t>JV</t>
        </is>
      </c>
      <c r="D17" t="inlineStr">
        <is>
          <t>JV</t>
        </is>
      </c>
      <c r="E17" s="35" t="n">
        <v>383.5</v>
      </c>
    </row>
    <row r="18">
      <c r="A18" t="inlineStr">
        <is>
          <t>VH2</t>
        </is>
      </c>
      <c r="D18" t="inlineStr">
        <is>
          <t>VH2</t>
        </is>
      </c>
      <c r="E18" s="35" t="n">
        <v>4.5</v>
      </c>
    </row>
    <row r="19">
      <c r="A19" t="inlineStr">
        <is>
          <t>VH</t>
        </is>
      </c>
      <c r="D19" t="inlineStr">
        <is>
          <t>VH</t>
        </is>
      </c>
      <c r="E19" s="35" t="n">
        <v>81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63212</v>
      </c>
      <c r="D23" t="inlineStr">
        <is>
          <t>JVB</t>
        </is>
      </c>
      <c r="E23" s="36" t="n">
        <v>112</v>
      </c>
      <c r="F23" s="32" t="n"/>
    </row>
    <row r="24">
      <c r="A24" t="inlineStr">
        <is>
          <t>JV2</t>
        </is>
      </c>
      <c r="B24" s="32" t="n">
        <v>2664</v>
      </c>
      <c r="D24" t="inlineStr">
        <is>
          <t>JV2</t>
        </is>
      </c>
      <c r="E24" s="36" t="n">
        <v>26</v>
      </c>
    </row>
    <row r="25">
      <c r="A25" t="inlineStr">
        <is>
          <t>JV</t>
        </is>
      </c>
      <c r="B25" s="32" t="n">
        <v>9683</v>
      </c>
      <c r="D25" t="inlineStr">
        <is>
          <t>JV</t>
        </is>
      </c>
      <c r="E25" s="36" t="n">
        <v>69.2</v>
      </c>
    </row>
    <row r="26">
      <c r="A26" t="inlineStr">
        <is>
          <t>VH3</t>
        </is>
      </c>
      <c r="B26" s="32" t="n">
        <v>7037</v>
      </c>
      <c r="D26" t="inlineStr">
        <is>
          <t>VH3</t>
        </is>
      </c>
      <c r="E26" s="36" t="n">
        <v>29.7</v>
      </c>
    </row>
    <row r="27">
      <c r="A27" t="inlineStr">
        <is>
          <t>VH2</t>
        </is>
      </c>
      <c r="B27" s="32" t="n">
        <v>7526</v>
      </c>
      <c r="D27" t="inlineStr">
        <is>
          <t>VH2</t>
        </is>
      </c>
      <c r="E27" s="36" t="n">
        <v>48.1</v>
      </c>
    </row>
    <row r="28">
      <c r="A28" t="inlineStr">
        <is>
          <t>VH</t>
        </is>
      </c>
      <c r="B28" s="32" t="n">
        <v>142231</v>
      </c>
      <c r="D28" t="inlineStr">
        <is>
          <t>VH</t>
        </is>
      </c>
      <c r="E28" s="36" t="n">
        <v>300.7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3446</v>
      </c>
      <c r="D33" t="inlineStr">
        <is>
          <t>JV</t>
        </is>
      </c>
      <c r="E33" t="n">
        <v>25</v>
      </c>
    </row>
    <row r="34">
      <c r="A34" t="inlineStr">
        <is>
          <t>VH4</t>
        </is>
      </c>
      <c r="B34" s="32" t="n">
        <v>20764</v>
      </c>
      <c r="D34" t="inlineStr">
        <is>
          <t>VH4</t>
        </is>
      </c>
      <c r="E34" t="n">
        <v>530</v>
      </c>
    </row>
    <row r="35">
      <c r="A35" t="inlineStr">
        <is>
          <t>VH2</t>
        </is>
      </c>
      <c r="B35" s="32" t="n">
        <v>154113</v>
      </c>
      <c r="D35" t="inlineStr">
        <is>
          <t>VH2</t>
        </is>
      </c>
      <c r="E35" t="n">
        <v>658.8</v>
      </c>
    </row>
    <row r="36">
      <c r="A36" t="inlineStr">
        <is>
          <t>VH</t>
        </is>
      </c>
      <c r="B36" s="32" t="n">
        <v>9329</v>
      </c>
      <c r="D36" t="inlineStr">
        <is>
          <t>VH</t>
        </is>
      </c>
      <c r="E36" s="36" t="n">
        <v>170.5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G7" sqref="G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4393.18</v>
      </c>
      <c r="C3" s="37" t="n">
        <v>1432.39</v>
      </c>
      <c r="D3" s="37" t="n">
        <v>2409.17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10548.81</v>
      </c>
      <c r="C4" s="37" t="n">
        <v>2085.48</v>
      </c>
      <c r="D4" s="37" t="n">
        <v>524.0700000000001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6.67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1091.69</v>
      </c>
      <c r="C7" s="37" t="n">
        <v>199.54</v>
      </c>
      <c r="D7" s="37" t="n">
        <v>9631.159999999991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117.74</v>
      </c>
      <c r="D8" s="37" t="n">
        <v>819.22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984.179999999999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44.5</v>
      </c>
    </row>
    <row r="17">
      <c r="A17" t="inlineStr">
        <is>
          <t>JV</t>
        </is>
      </c>
      <c r="D17" t="inlineStr">
        <is>
          <t>JV</t>
        </is>
      </c>
      <c r="E17" s="35" t="n">
        <v>545</v>
      </c>
    </row>
    <row r="18">
      <c r="A18" t="inlineStr">
        <is>
          <t>VH2</t>
        </is>
      </c>
      <c r="D18" t="inlineStr">
        <is>
          <t>VH2</t>
        </is>
      </c>
      <c r="E18" s="35" t="n">
        <v>28.5</v>
      </c>
    </row>
    <row r="19">
      <c r="A19" t="inlineStr">
        <is>
          <t>VH</t>
        </is>
      </c>
      <c r="D19" t="inlineStr">
        <is>
          <t>VH</t>
        </is>
      </c>
      <c r="E19" s="35" t="n">
        <v>117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82905</v>
      </c>
      <c r="D23" t="inlineStr">
        <is>
          <t>JVB</t>
        </is>
      </c>
      <c r="E23" s="36" t="n">
        <v>124</v>
      </c>
      <c r="F23" s="32" t="n"/>
    </row>
    <row r="24">
      <c r="A24" t="inlineStr">
        <is>
          <t>JV2</t>
        </is>
      </c>
      <c r="B24" s="32" t="n">
        <v>3273</v>
      </c>
      <c r="D24" t="inlineStr">
        <is>
          <t>JV2</t>
        </is>
      </c>
      <c r="E24" s="36" t="n">
        <v>31</v>
      </c>
    </row>
    <row r="25">
      <c r="A25" t="inlineStr">
        <is>
          <t>JV</t>
        </is>
      </c>
      <c r="B25" s="32" t="n">
        <v>5712</v>
      </c>
      <c r="D25" t="inlineStr">
        <is>
          <t>JV</t>
        </is>
      </c>
      <c r="E25" s="36" t="n">
        <v>47.4</v>
      </c>
    </row>
    <row r="26">
      <c r="A26" t="inlineStr">
        <is>
          <t>VH3</t>
        </is>
      </c>
      <c r="B26" s="32" t="n">
        <v>778</v>
      </c>
      <c r="D26" t="inlineStr">
        <is>
          <t>VH3</t>
        </is>
      </c>
      <c r="E26" s="36" t="n">
        <v>2.6</v>
      </c>
    </row>
    <row r="27">
      <c r="A27" t="inlineStr">
        <is>
          <t>VH2</t>
        </is>
      </c>
      <c r="B27" s="32" t="n">
        <v>34392</v>
      </c>
      <c r="D27" t="inlineStr">
        <is>
          <t>VH2</t>
        </is>
      </c>
      <c r="E27" s="36" t="n">
        <v>173.2</v>
      </c>
    </row>
    <row r="28">
      <c r="A28" t="inlineStr">
        <is>
          <t>VH</t>
        </is>
      </c>
      <c r="B28" s="32" t="n">
        <v>41440</v>
      </c>
      <c r="D28" t="inlineStr">
        <is>
          <t>VH</t>
        </is>
      </c>
      <c r="E28" s="36" t="n">
        <v>130.4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8377</v>
      </c>
      <c r="D33" t="inlineStr">
        <is>
          <t>JV</t>
        </is>
      </c>
      <c r="E33" t="n">
        <v>99</v>
      </c>
    </row>
    <row r="34">
      <c r="A34" t="inlineStr">
        <is>
          <t>VH4</t>
        </is>
      </c>
      <c r="B34" s="32" t="n">
        <v>23605</v>
      </c>
      <c r="D34" t="inlineStr">
        <is>
          <t>VH4</t>
        </is>
      </c>
      <c r="E34" t="n">
        <v>589</v>
      </c>
    </row>
    <row r="35">
      <c r="A35" t="inlineStr">
        <is>
          <t>VH2</t>
        </is>
      </c>
      <c r="B35" s="32" t="n">
        <v>140099</v>
      </c>
      <c r="D35" t="inlineStr">
        <is>
          <t>VH2</t>
        </is>
      </c>
      <c r="E35" t="n">
        <v>615.7</v>
      </c>
    </row>
    <row r="36">
      <c r="A36" t="inlineStr">
        <is>
          <t>VH</t>
        </is>
      </c>
      <c r="B36" s="32" t="n">
        <v>61381</v>
      </c>
      <c r="D36" t="inlineStr">
        <is>
          <t>VH</t>
        </is>
      </c>
      <c r="E36" s="36" t="n">
        <v>482.5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B7" sqref="B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2445.57</v>
      </c>
      <c r="C3" s="37" t="n">
        <v>1833.49</v>
      </c>
      <c r="D3" s="37" t="n">
        <v>1923.42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9350.73</v>
      </c>
      <c r="C4" s="37" t="n">
        <v>4177.28</v>
      </c>
      <c r="D4" s="37" t="n">
        <v>736.92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41.72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3581.25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458.61</v>
      </c>
      <c r="C7" s="37" t="n">
        <v>139.66</v>
      </c>
      <c r="D7" s="37" t="n">
        <v>12241.64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168.49</v>
      </c>
      <c r="D8" s="37" t="n">
        <v>704.6799999999999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705.15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40</v>
      </c>
    </row>
    <row r="17">
      <c r="A17" t="inlineStr">
        <is>
          <t>JV</t>
        </is>
      </c>
      <c r="D17" t="inlineStr">
        <is>
          <t>JV</t>
        </is>
      </c>
      <c r="E17" s="35" t="n">
        <v>696.5</v>
      </c>
    </row>
    <row r="18">
      <c r="A18" t="inlineStr">
        <is>
          <t>VH2</t>
        </is>
      </c>
      <c r="D18" t="inlineStr">
        <is>
          <t>VH2</t>
        </is>
      </c>
      <c r="E18" s="35" t="n">
        <v>39.5</v>
      </c>
    </row>
    <row r="19">
      <c r="A19" t="inlineStr">
        <is>
          <t>VH</t>
        </is>
      </c>
      <c r="D19" t="inlineStr">
        <is>
          <t>VH</t>
        </is>
      </c>
      <c r="E19" s="35" t="n">
        <v>93.5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58625</v>
      </c>
      <c r="D23" t="inlineStr">
        <is>
          <t>JVB</t>
        </is>
      </c>
      <c r="E23" s="36" t="n">
        <v>83.5</v>
      </c>
      <c r="F23" s="32" t="n"/>
    </row>
    <row r="24">
      <c r="A24" t="inlineStr">
        <is>
          <t>JV2</t>
        </is>
      </c>
      <c r="B24" s="32" t="n">
        <v>4836</v>
      </c>
      <c r="D24" t="inlineStr">
        <is>
          <t>JV2</t>
        </is>
      </c>
      <c r="E24" s="36" t="n">
        <v>46</v>
      </c>
    </row>
    <row r="25">
      <c r="A25" t="inlineStr">
        <is>
          <t>JV</t>
        </is>
      </c>
      <c r="B25" s="32" t="n">
        <v>3520</v>
      </c>
      <c r="D25" t="inlineStr">
        <is>
          <t>JV</t>
        </is>
      </c>
      <c r="E25" s="36" t="n">
        <v>31.4</v>
      </c>
    </row>
    <row r="26">
      <c r="A26" t="inlineStr">
        <is>
          <t>VH3</t>
        </is>
      </c>
      <c r="B26" s="32" t="n">
        <v>3607</v>
      </c>
      <c r="D26" t="inlineStr">
        <is>
          <t>VH3</t>
        </is>
      </c>
      <c r="E26" s="36" t="n">
        <v>13.3</v>
      </c>
    </row>
    <row r="27">
      <c r="A27" t="inlineStr">
        <is>
          <t>VH2</t>
        </is>
      </c>
      <c r="B27" s="32" t="n">
        <v>49977</v>
      </c>
      <c r="D27" t="inlineStr">
        <is>
          <t>VH2</t>
        </is>
      </c>
      <c r="E27" s="36" t="n">
        <v>400.9</v>
      </c>
    </row>
    <row r="28">
      <c r="A28" t="inlineStr">
        <is>
          <t>VH</t>
        </is>
      </c>
      <c r="B28" s="32" t="n">
        <v>49415</v>
      </c>
      <c r="D28" t="inlineStr">
        <is>
          <t>VH</t>
        </is>
      </c>
      <c r="E28" s="36" t="n">
        <v>158.4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4780</v>
      </c>
      <c r="D33" t="inlineStr">
        <is>
          <t>JV</t>
        </is>
      </c>
      <c r="E33" t="n">
        <v>31.5</v>
      </c>
    </row>
    <row r="34">
      <c r="A34" t="inlineStr">
        <is>
          <t>VH4</t>
        </is>
      </c>
      <c r="B34" s="32" t="n">
        <v>25333</v>
      </c>
      <c r="D34" t="inlineStr">
        <is>
          <t>VH4</t>
        </is>
      </c>
      <c r="E34" t="n">
        <v>573</v>
      </c>
    </row>
    <row r="35">
      <c r="A35" t="inlineStr">
        <is>
          <t>VH2</t>
        </is>
      </c>
      <c r="B35" s="32" t="n">
        <v>113584</v>
      </c>
      <c r="D35" t="inlineStr">
        <is>
          <t>VH2</t>
        </is>
      </c>
      <c r="E35" t="n">
        <v>642</v>
      </c>
    </row>
    <row r="36">
      <c r="A36" t="inlineStr">
        <is>
          <t>VH</t>
        </is>
      </c>
      <c r="B36" s="32" t="n">
        <v>27967</v>
      </c>
      <c r="D36" t="inlineStr">
        <is>
          <t>VH</t>
        </is>
      </c>
      <c r="E36" s="36" t="n">
        <v>311.5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K8" sqref="K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3375.2</v>
      </c>
      <c r="C3" s="37" t="n">
        <v>2805.45</v>
      </c>
      <c r="D3" s="37" t="n">
        <v>1802.29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8105.52000000001</v>
      </c>
      <c r="C4" s="37" t="n">
        <v>1733.56</v>
      </c>
      <c r="D4" s="37" t="n">
        <v>944.33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35.93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3157.5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551.9299999999999</v>
      </c>
      <c r="C7" s="37" t="n"/>
      <c r="D7" s="37" t="n">
        <v>7761.64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107.59</v>
      </c>
      <c r="D8" s="37" t="n">
        <v>845.39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930.3099999999999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48.5</v>
      </c>
    </row>
    <row r="17">
      <c r="A17" t="inlineStr">
        <is>
          <t>JV</t>
        </is>
      </c>
      <c r="D17" t="inlineStr">
        <is>
          <t>JV</t>
        </is>
      </c>
      <c r="E17" s="35" t="n">
        <v>485</v>
      </c>
    </row>
    <row r="18">
      <c r="A18" t="inlineStr">
        <is>
          <t>VH2</t>
        </is>
      </c>
      <c r="D18" t="inlineStr">
        <is>
          <t>VH2</t>
        </is>
      </c>
      <c r="E18" s="35" t="n">
        <v>52.5</v>
      </c>
    </row>
    <row r="19">
      <c r="A19" t="inlineStr">
        <is>
          <t>VH</t>
        </is>
      </c>
      <c r="D19" t="inlineStr">
        <is>
          <t>VH</t>
        </is>
      </c>
      <c r="E19" s="35" t="n">
        <v>92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82221</v>
      </c>
      <c r="D23" t="inlineStr">
        <is>
          <t>JVB</t>
        </is>
      </c>
      <c r="E23" s="36" t="n">
        <v>101</v>
      </c>
      <c r="F23" s="32" t="n"/>
    </row>
    <row r="24">
      <c r="A24" t="inlineStr">
        <is>
          <t>JV2</t>
        </is>
      </c>
      <c r="B24" s="32" t="n">
        <v>2520</v>
      </c>
      <c r="D24" t="inlineStr">
        <is>
          <t>JV2</t>
        </is>
      </c>
      <c r="E24" s="36" t="n">
        <v>28</v>
      </c>
    </row>
    <row r="25">
      <c r="A25" t="inlineStr">
        <is>
          <t>JV</t>
        </is>
      </c>
      <c r="B25" s="32" t="n">
        <v>0</v>
      </c>
      <c r="D25" t="inlineStr">
        <is>
          <t>JV</t>
        </is>
      </c>
      <c r="E25" s="36" t="n">
        <v>0</v>
      </c>
    </row>
    <row r="26">
      <c r="A26" t="inlineStr">
        <is>
          <t>VH3</t>
        </is>
      </c>
      <c r="B26" s="32" t="n">
        <v>3157</v>
      </c>
      <c r="D26" t="inlineStr">
        <is>
          <t>VH3</t>
        </is>
      </c>
      <c r="E26" s="36" t="n">
        <v>14</v>
      </c>
    </row>
    <row r="27">
      <c r="A27" t="inlineStr">
        <is>
          <t>VH2</t>
        </is>
      </c>
      <c r="B27" s="32" t="n">
        <v>37119</v>
      </c>
      <c r="D27" t="inlineStr">
        <is>
          <t>VH2</t>
        </is>
      </c>
      <c r="E27" s="36" t="n">
        <v>198.9</v>
      </c>
    </row>
    <row r="28">
      <c r="A28" t="inlineStr">
        <is>
          <t>VH</t>
        </is>
      </c>
      <c r="B28" s="32" t="n">
        <v>52198</v>
      </c>
      <c r="D28" t="inlineStr">
        <is>
          <t>VH</t>
        </is>
      </c>
      <c r="E28" s="36" t="n">
        <v>220.500000000001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6812</v>
      </c>
      <c r="D33" t="inlineStr">
        <is>
          <t>JV</t>
        </is>
      </c>
      <c r="E33" t="n">
        <v>40</v>
      </c>
    </row>
    <row r="34">
      <c r="A34" t="inlineStr">
        <is>
          <t>VH4</t>
        </is>
      </c>
      <c r="B34" s="32" t="n">
        <v>21994</v>
      </c>
      <c r="D34" t="inlineStr">
        <is>
          <t>VH4</t>
        </is>
      </c>
      <c r="E34" t="n">
        <v>505.2</v>
      </c>
    </row>
    <row r="35">
      <c r="A35" t="inlineStr">
        <is>
          <t>VH2</t>
        </is>
      </c>
      <c r="B35" s="32" t="n">
        <v>67759</v>
      </c>
      <c r="D35" t="inlineStr">
        <is>
          <t>VH2</t>
        </is>
      </c>
      <c r="E35" t="n">
        <v>574.9</v>
      </c>
    </row>
    <row r="36">
      <c r="A36" t="inlineStr">
        <is>
          <t>VH</t>
        </is>
      </c>
      <c r="B36" s="32" t="n">
        <v>121780</v>
      </c>
      <c r="D36" t="inlineStr">
        <is>
          <t>VH</t>
        </is>
      </c>
      <c r="E36" s="36" t="n">
        <v>455.5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C15" sqref="C1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2352.47</v>
      </c>
      <c r="C3" s="37" t="n">
        <v>2887.85</v>
      </c>
      <c r="D3" s="37" t="n">
        <v>2063.12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9636.719999999999</v>
      </c>
      <c r="C4" s="37" t="n">
        <v>2191.5</v>
      </c>
      <c r="D4" s="37" t="n">
        <v>1553.89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52.37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3681.875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957.79</v>
      </c>
      <c r="C7" s="37" t="n">
        <v>731.17</v>
      </c>
      <c r="D7" s="37" t="n">
        <v>12046.9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178.64</v>
      </c>
      <c r="D8" s="37" t="n">
        <v>1295.75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937.47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72</v>
      </c>
    </row>
    <row r="17">
      <c r="A17" t="inlineStr">
        <is>
          <t>JV</t>
        </is>
      </c>
      <c r="D17" t="inlineStr">
        <is>
          <t>JV</t>
        </is>
      </c>
      <c r="E17" s="35" t="n">
        <v>753</v>
      </c>
    </row>
    <row r="18">
      <c r="A18" t="inlineStr">
        <is>
          <t>VH2</t>
        </is>
      </c>
      <c r="D18" t="inlineStr">
        <is>
          <t>VH2</t>
        </is>
      </c>
      <c r="E18" s="35" t="n">
        <v>80</v>
      </c>
    </row>
    <row r="19">
      <c r="A19" t="inlineStr">
        <is>
          <t>VH</t>
        </is>
      </c>
      <c r="D19" t="inlineStr">
        <is>
          <t>VH</t>
        </is>
      </c>
      <c r="E19" s="35" t="n">
        <v>111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77394</v>
      </c>
      <c r="D23" t="inlineStr">
        <is>
          <t>JVB</t>
        </is>
      </c>
      <c r="E23" s="36" t="n">
        <v>104</v>
      </c>
      <c r="F23" s="32" t="n"/>
    </row>
    <row r="24">
      <c r="A24" t="inlineStr">
        <is>
          <t>JV2</t>
        </is>
      </c>
      <c r="B24" s="32" t="n">
        <v>5128</v>
      </c>
      <c r="D24" t="inlineStr">
        <is>
          <t>JV2</t>
        </is>
      </c>
      <c r="E24" s="36" t="n">
        <v>41</v>
      </c>
    </row>
    <row r="25">
      <c r="A25" t="inlineStr">
        <is>
          <t>JV</t>
        </is>
      </c>
      <c r="B25" s="32" t="n">
        <v>17150</v>
      </c>
      <c r="D25" t="inlineStr">
        <is>
          <t>JV</t>
        </is>
      </c>
      <c r="E25" s="36" t="n">
        <v>68.7</v>
      </c>
    </row>
    <row r="26">
      <c r="A26" t="inlineStr">
        <is>
          <t>VH3</t>
        </is>
      </c>
      <c r="B26" s="32" t="n">
        <v>7140</v>
      </c>
      <c r="D26" t="inlineStr">
        <is>
          <t>VH3</t>
        </is>
      </c>
      <c r="E26" s="36" t="n">
        <v>20.4</v>
      </c>
    </row>
    <row r="27">
      <c r="A27" t="inlineStr">
        <is>
          <t>VH2</t>
        </is>
      </c>
      <c r="B27" s="32" t="n">
        <v>35642</v>
      </c>
      <c r="D27" t="inlineStr">
        <is>
          <t>VH2</t>
        </is>
      </c>
      <c r="E27" s="36" t="n">
        <v>282.5</v>
      </c>
    </row>
    <row r="28">
      <c r="A28" t="inlineStr">
        <is>
          <t>VH</t>
        </is>
      </c>
      <c r="B28" s="32" t="n">
        <v>46840</v>
      </c>
      <c r="D28" t="inlineStr">
        <is>
          <t>VH</t>
        </is>
      </c>
      <c r="E28" s="36" t="n">
        <v>204.800000000001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13200</v>
      </c>
      <c r="D33" t="inlineStr">
        <is>
          <t>JV</t>
        </is>
      </c>
      <c r="E33" t="n">
        <v>59</v>
      </c>
    </row>
    <row r="34">
      <c r="A34" t="inlineStr">
        <is>
          <t>VH4</t>
        </is>
      </c>
      <c r="B34" s="32" t="n">
        <v>31547</v>
      </c>
      <c r="D34" t="inlineStr">
        <is>
          <t>VH4</t>
        </is>
      </c>
      <c r="E34" t="n">
        <v>589.1</v>
      </c>
    </row>
    <row r="35">
      <c r="A35" t="inlineStr">
        <is>
          <t>VH2</t>
        </is>
      </c>
      <c r="B35" s="32" t="n">
        <v>64422</v>
      </c>
      <c r="D35" t="inlineStr">
        <is>
          <t>VH2</t>
        </is>
      </c>
      <c r="E35" t="n">
        <v>691.6</v>
      </c>
    </row>
    <row r="36">
      <c r="A36" t="inlineStr">
        <is>
          <t>VH</t>
        </is>
      </c>
      <c r="B36" s="32" t="n">
        <v>70237</v>
      </c>
      <c r="D36" t="inlineStr">
        <is>
          <t>VH</t>
        </is>
      </c>
      <c r="E36" s="36" t="n">
        <v>358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6" zoomScale="130" zoomScaleNormal="130" workbookViewId="0">
      <selection activeCell="A25" sqref="A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1049.38</v>
      </c>
      <c r="C3" s="37" t="n">
        <v>2449.76000000001</v>
      </c>
      <c r="D3" s="37" t="n">
        <v>2237.89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6636.63</v>
      </c>
      <c r="C4" s="37" t="n">
        <v>459.97</v>
      </c>
      <c r="D4" s="37" t="n">
        <v>219.42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260.03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3445.625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748.8</v>
      </c>
      <c r="C7" s="37" t="n">
        <v>1741.67</v>
      </c>
      <c r="D7" s="37" t="n">
        <v>5217.26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1583.39999999999</v>
      </c>
      <c r="D8" s="37" t="n">
        <v>1023.73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639.22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61.5</v>
      </c>
    </row>
    <row r="17">
      <c r="A17" t="inlineStr">
        <is>
          <t>JV</t>
        </is>
      </c>
      <c r="D17" t="inlineStr">
        <is>
          <t>JV</t>
        </is>
      </c>
      <c r="E17" s="35" t="n">
        <v>311.5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123.5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61025</v>
      </c>
      <c r="D23" t="inlineStr">
        <is>
          <t>JVB</t>
        </is>
      </c>
      <c r="E23" s="36" t="n">
        <v>77.5</v>
      </c>
      <c r="F23" s="32" t="n"/>
    </row>
    <row r="24">
      <c r="A24" t="inlineStr">
        <is>
          <t>JV2</t>
        </is>
      </c>
      <c r="B24" s="32" t="n">
        <v>35914</v>
      </c>
      <c r="D24" t="inlineStr">
        <is>
          <t>JV2</t>
        </is>
      </c>
      <c r="E24" s="36" t="n">
        <v>396</v>
      </c>
    </row>
    <row r="25">
      <c r="A25" t="inlineStr">
        <is>
          <t>JV</t>
        </is>
      </c>
      <c r="B25" s="32" t="n">
        <v>23417</v>
      </c>
      <c r="D25" t="inlineStr">
        <is>
          <t>JV</t>
        </is>
      </c>
      <c r="E25" s="36" t="n">
        <v>125.2</v>
      </c>
    </row>
    <row r="26">
      <c r="A26" t="inlineStr">
        <is>
          <t>VH3</t>
        </is>
      </c>
      <c r="B26" s="32" t="n">
        <v>24356</v>
      </c>
      <c r="D26" t="inlineStr">
        <is>
          <t>VH3</t>
        </is>
      </c>
      <c r="E26" s="36" t="n">
        <v>111.7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81.5</v>
      </c>
    </row>
    <row r="28">
      <c r="A28" t="inlineStr">
        <is>
          <t>VH</t>
        </is>
      </c>
      <c r="B28" s="32" t="n">
        <v>65207</v>
      </c>
      <c r="D28" t="inlineStr">
        <is>
          <t>VH</t>
        </is>
      </c>
      <c r="E28" s="36" t="n">
        <v>204.000000000001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8101</v>
      </c>
      <c r="D33" t="inlineStr">
        <is>
          <t>JV</t>
        </is>
      </c>
      <c r="E33" t="n">
        <v>55</v>
      </c>
    </row>
    <row r="34">
      <c r="A34" t="inlineStr">
        <is>
          <t>VH4</t>
        </is>
      </c>
      <c r="B34" s="32" t="n">
        <v>29407</v>
      </c>
      <c r="D34" t="inlineStr">
        <is>
          <t>VH4</t>
        </is>
      </c>
      <c r="E34" t="n">
        <v>551.3</v>
      </c>
    </row>
    <row r="35">
      <c r="A35" t="inlineStr">
        <is>
          <t>VH2</t>
        </is>
      </c>
      <c r="B35" s="32" t="n">
        <v>33654</v>
      </c>
      <c r="D35" t="inlineStr">
        <is>
          <t>VH2</t>
        </is>
      </c>
      <c r="E35" t="n">
        <v>486.5</v>
      </c>
    </row>
    <row r="36">
      <c r="A36" t="inlineStr">
        <is>
          <t>VH</t>
        </is>
      </c>
      <c r="B36" s="32" t="n">
        <v>21407</v>
      </c>
      <c r="D36" t="inlineStr">
        <is>
          <t>VH</t>
        </is>
      </c>
      <c r="E36" s="36" t="n">
        <v>171.5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130" zoomScaleNormal="130" workbookViewId="0">
      <selection activeCell="D7" sqref="D7:D8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1612.56</v>
      </c>
      <c r="C3" s="37" t="n">
        <v>2977.26</v>
      </c>
      <c r="D3" s="37" t="n">
        <v>2217.23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1658.08</v>
      </c>
      <c r="C4" s="37" t="n">
        <v>2080.4</v>
      </c>
      <c r="D4" s="37" t="n">
        <v>392.82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144.15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3591.875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842.13</v>
      </c>
      <c r="C7" s="37" t="n">
        <v>1474.86</v>
      </c>
      <c r="D7" s="37" t="n">
        <v>7102.09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2356.82999999998</v>
      </c>
      <c r="D8" s="37" t="n">
        <v>1010.74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712.25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61</v>
      </c>
    </row>
    <row r="17">
      <c r="A17" t="inlineStr">
        <is>
          <t>JV</t>
        </is>
      </c>
      <c r="D17" t="inlineStr">
        <is>
          <t>JV</t>
        </is>
      </c>
      <c r="E17" s="35" t="n">
        <v>443</v>
      </c>
    </row>
    <row r="18">
      <c r="A18" t="inlineStr">
        <is>
          <t>VH2</t>
        </is>
      </c>
      <c r="D18" t="inlineStr">
        <is>
          <t>VH2</t>
        </is>
      </c>
      <c r="E18" s="35" t="n">
        <v>22.5</v>
      </c>
    </row>
    <row r="19">
      <c r="A19" t="inlineStr">
        <is>
          <t>VH</t>
        </is>
      </c>
      <c r="D19" t="inlineStr">
        <is>
          <t>VH</t>
        </is>
      </c>
      <c r="E19" s="35" t="n">
        <v>126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54062</v>
      </c>
      <c r="D23" t="inlineStr">
        <is>
          <t>JVB</t>
        </is>
      </c>
      <c r="E23" s="36" t="n">
        <v>84</v>
      </c>
      <c r="F23" s="32" t="n"/>
    </row>
    <row r="24">
      <c r="A24" t="inlineStr">
        <is>
          <t>JV2</t>
        </is>
      </c>
      <c r="B24" s="32" t="n">
        <v>54582</v>
      </c>
      <c r="D24" t="inlineStr">
        <is>
          <t>JV2</t>
        </is>
      </c>
      <c r="E24" s="36" t="n">
        <v>591</v>
      </c>
    </row>
    <row r="25">
      <c r="A25" t="inlineStr">
        <is>
          <t>JV</t>
        </is>
      </c>
      <c r="B25" s="32" t="n">
        <v>25768</v>
      </c>
      <c r="D25" t="inlineStr">
        <is>
          <t>JV</t>
        </is>
      </c>
      <c r="E25" s="36" t="n">
        <v>124.1</v>
      </c>
    </row>
    <row r="26">
      <c r="A26" t="inlineStr">
        <is>
          <t>VH3</t>
        </is>
      </c>
      <c r="B26" s="32" t="n">
        <v>10401</v>
      </c>
      <c r="D26" t="inlineStr">
        <is>
          <t>VH3</t>
        </is>
      </c>
      <c r="E26" s="36" t="n">
        <v>39.8</v>
      </c>
    </row>
    <row r="27">
      <c r="A27" t="inlineStr">
        <is>
          <t>VH2</t>
        </is>
      </c>
      <c r="B27" s="32" t="n">
        <v>26960</v>
      </c>
      <c r="D27" t="inlineStr">
        <is>
          <t>VH2</t>
        </is>
      </c>
      <c r="E27" s="36" t="n">
        <v>182</v>
      </c>
    </row>
    <row r="28">
      <c r="A28" t="inlineStr">
        <is>
          <t>VH</t>
        </is>
      </c>
      <c r="B28" s="32" t="n">
        <v>74082</v>
      </c>
      <c r="D28" t="inlineStr">
        <is>
          <t>VH</t>
        </is>
      </c>
      <c r="E28" s="36" t="n">
        <v>246.200000000001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8227</v>
      </c>
      <c r="D33" t="inlineStr">
        <is>
          <t>JV</t>
        </is>
      </c>
      <c r="E33" t="n">
        <v>65</v>
      </c>
    </row>
    <row r="34">
      <c r="A34" t="inlineStr">
        <is>
          <t>VH4</t>
        </is>
      </c>
      <c r="B34" s="32" t="n">
        <v>33961</v>
      </c>
      <c r="D34" t="inlineStr">
        <is>
          <t>VH4</t>
        </is>
      </c>
      <c r="E34" t="n">
        <v>574.7</v>
      </c>
    </row>
    <row r="35">
      <c r="A35" t="inlineStr">
        <is>
          <t>VH2</t>
        </is>
      </c>
      <c r="B35" s="32" t="n">
        <v>23360</v>
      </c>
      <c r="D35" t="inlineStr">
        <is>
          <t>VH2</t>
        </is>
      </c>
      <c r="E35" t="n">
        <v>84.5</v>
      </c>
    </row>
    <row r="36">
      <c r="A36" t="inlineStr">
        <is>
          <t>VH</t>
        </is>
      </c>
      <c r="B36" s="32" t="n">
        <v>27362</v>
      </c>
      <c r="D36" t="inlineStr">
        <is>
          <t>VH</t>
        </is>
      </c>
      <c r="E36" s="36" t="n">
        <v>268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31" zoomScale="115" zoomScaleNormal="115" workbookViewId="0">
      <selection activeCell="B37" sqref="B3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257.12</v>
      </c>
      <c r="C3" s="37" t="n">
        <v>1909.45</v>
      </c>
      <c r="D3" s="37" t="n">
        <v>2132.94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1025.85</v>
      </c>
      <c r="C4" s="37" t="n">
        <v>2720.15</v>
      </c>
      <c r="D4" s="37" t="n">
        <v>225.65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112.98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3490.625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537.72</v>
      </c>
      <c r="C7" s="37" t="n">
        <v>967.4400000000001</v>
      </c>
      <c r="D7" s="37" t="n">
        <v>14030.1099999999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1987.36999999998</v>
      </c>
      <c r="D8" s="37" t="n">
        <v>458.32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665.53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24.5</v>
      </c>
    </row>
    <row r="17">
      <c r="A17" t="inlineStr">
        <is>
          <t>JV</t>
        </is>
      </c>
      <c r="D17" t="inlineStr">
        <is>
          <t>JV</t>
        </is>
      </c>
      <c r="E17" s="35" t="n">
        <v>737</v>
      </c>
    </row>
    <row r="18">
      <c r="A18" t="inlineStr">
        <is>
          <t>VH2</t>
        </is>
      </c>
      <c r="D18" t="inlineStr">
        <is>
          <t>VH2</t>
        </is>
      </c>
      <c r="E18" s="35" t="n">
        <v>13</v>
      </c>
    </row>
    <row r="19">
      <c r="A19" t="inlineStr">
        <is>
          <t>VH</t>
        </is>
      </c>
      <c r="D19" t="inlineStr">
        <is>
          <t>VH</t>
        </is>
      </c>
      <c r="E19" s="35" t="n">
        <v>113.5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57591</v>
      </c>
      <c r="D23" t="inlineStr">
        <is>
          <t>JVB</t>
        </is>
      </c>
      <c r="E23" s="36" t="n">
        <v>71.5</v>
      </c>
      <c r="F23" s="32" t="n"/>
    </row>
    <row r="24">
      <c r="A24" t="inlineStr">
        <is>
          <t>JV2</t>
        </is>
      </c>
      <c r="B24" s="32" t="n">
        <v>48678</v>
      </c>
      <c r="D24" t="inlineStr">
        <is>
          <t>JV2</t>
        </is>
      </c>
      <c r="E24" s="36" t="n">
        <v>517</v>
      </c>
    </row>
    <row r="25">
      <c r="A25" t="inlineStr">
        <is>
          <t>JV</t>
        </is>
      </c>
      <c r="B25" s="32" t="n">
        <v>22929</v>
      </c>
      <c r="D25" t="inlineStr">
        <is>
          <t>JV</t>
        </is>
      </c>
      <c r="E25" s="36" t="n">
        <v>119.8</v>
      </c>
    </row>
    <row r="26">
      <c r="A26" t="inlineStr">
        <is>
          <t>VH3</t>
        </is>
      </c>
      <c r="B26" s="32" t="n">
        <v>6853</v>
      </c>
      <c r="D26" t="inlineStr">
        <is>
          <t>VH3</t>
        </is>
      </c>
      <c r="E26" s="36" t="n">
        <v>44</v>
      </c>
    </row>
    <row r="27">
      <c r="A27" t="inlineStr">
        <is>
          <t>VH2</t>
        </is>
      </c>
      <c r="B27" s="32" t="n">
        <v>31945</v>
      </c>
      <c r="D27" t="inlineStr">
        <is>
          <t>VH2</t>
        </is>
      </c>
      <c r="E27" s="36" t="n">
        <v>257.6</v>
      </c>
    </row>
    <row r="28">
      <c r="A28" t="inlineStr">
        <is>
          <t>VH</t>
        </is>
      </c>
      <c r="B28" s="32" t="n">
        <v>41826</v>
      </c>
      <c r="D28" t="inlineStr">
        <is>
          <t>VH</t>
        </is>
      </c>
      <c r="E28" s="36" t="n">
        <v>161.000000000001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5828</v>
      </c>
      <c r="D33" t="inlineStr">
        <is>
          <t>JV</t>
        </is>
      </c>
      <c r="E33" t="n">
        <v>53</v>
      </c>
    </row>
    <row r="34">
      <c r="A34" t="inlineStr">
        <is>
          <t>VH4</t>
        </is>
      </c>
      <c r="B34" s="32" t="n">
        <v>31137</v>
      </c>
      <c r="D34" t="inlineStr">
        <is>
          <t>VH4</t>
        </is>
      </c>
      <c r="E34" t="n">
        <v>558.5</v>
      </c>
    </row>
    <row r="35">
      <c r="A35" t="inlineStr">
        <is>
          <t>VH2</t>
        </is>
      </c>
      <c r="B35" s="32" t="n">
        <v>8646</v>
      </c>
      <c r="D35" t="inlineStr">
        <is>
          <t>VH2</t>
        </is>
      </c>
      <c r="E35" t="n">
        <v>126</v>
      </c>
    </row>
    <row r="36">
      <c r="A36" t="inlineStr">
        <is>
          <t>VH</t>
        </is>
      </c>
      <c r="B36" s="32" t="n">
        <v>4824</v>
      </c>
      <c r="D36" t="inlineStr">
        <is>
          <t>VH</t>
        </is>
      </c>
      <c r="E36" s="36" t="n">
        <v>52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="90" zoomScaleNormal="90" workbookViewId="0">
      <selection activeCell="H24" sqref="H24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272.25</v>
      </c>
      <c r="C3" s="37" t="n">
        <v>1318.64</v>
      </c>
      <c r="D3" s="37" t="n">
        <v>1264.52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1099.68</v>
      </c>
      <c r="C4" s="37" t="n">
        <v>1504.83</v>
      </c>
      <c r="D4" s="37" t="n">
        <v>232.75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11.56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2086.25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750.76</v>
      </c>
      <c r="C7" s="37" t="n">
        <v>1551.38</v>
      </c>
      <c r="D7" s="37" t="n">
        <v>5764.71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1877.74999999998</v>
      </c>
      <c r="D8" s="37" t="n">
        <v>753.49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428.15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t="n">
        <v>45</v>
      </c>
    </row>
    <row r="17">
      <c r="A17" t="inlineStr">
        <is>
          <t>JV</t>
        </is>
      </c>
      <c r="D17" t="inlineStr">
        <is>
          <t>JV</t>
        </is>
      </c>
      <c r="E17" s="35" t="n">
        <v>346.5</v>
      </c>
    </row>
    <row r="18">
      <c r="A18" t="inlineStr">
        <is>
          <t>VH2</t>
        </is>
      </c>
      <c r="D18" t="inlineStr">
        <is>
          <t>VH2</t>
        </is>
      </c>
      <c r="E18" s="35" t="n">
        <v>12</v>
      </c>
    </row>
    <row r="19">
      <c r="A19" t="inlineStr">
        <is>
          <t>VH</t>
        </is>
      </c>
      <c r="D19" t="inlineStr">
        <is>
          <t>VH</t>
        </is>
      </c>
      <c r="E19" s="35" t="n">
        <v>73.5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37692</v>
      </c>
      <c r="D23" t="inlineStr">
        <is>
          <t>JVB</t>
        </is>
      </c>
      <c r="E23" s="36" t="n">
        <v>47.5</v>
      </c>
      <c r="F23" s="32" t="n"/>
    </row>
    <row r="24">
      <c r="A24" t="inlineStr">
        <is>
          <t>JV2</t>
        </is>
      </c>
      <c r="B24" s="32" t="n">
        <v>46819</v>
      </c>
      <c r="D24" t="inlineStr">
        <is>
          <t>JV2</t>
        </is>
      </c>
      <c r="E24" s="36" t="n">
        <v>487</v>
      </c>
    </row>
    <row r="25">
      <c r="A25" t="inlineStr">
        <is>
          <t>JV</t>
        </is>
      </c>
      <c r="B25" s="32" t="n">
        <v>43701</v>
      </c>
      <c r="D25" t="inlineStr">
        <is>
          <t>JV</t>
        </is>
      </c>
      <c r="E25" s="36" t="n">
        <v>157</v>
      </c>
    </row>
    <row r="26">
      <c r="A26" t="inlineStr">
        <is>
          <t>VH3</t>
        </is>
      </c>
      <c r="B26" s="32" t="n">
        <v>974</v>
      </c>
      <c r="D26" t="inlineStr">
        <is>
          <t>VH3</t>
        </is>
      </c>
      <c r="E26" s="36" t="n">
        <v>4.5</v>
      </c>
    </row>
    <row r="27">
      <c r="A27" t="inlineStr">
        <is>
          <t>VH2</t>
        </is>
      </c>
      <c r="B27" s="32" t="n">
        <v>14359</v>
      </c>
      <c r="D27" t="inlineStr">
        <is>
          <t>VH2</t>
        </is>
      </c>
      <c r="E27" s="36" t="n">
        <v>149.8</v>
      </c>
    </row>
    <row r="28">
      <c r="A28" t="inlineStr">
        <is>
          <t>VH</t>
        </is>
      </c>
      <c r="B28" s="32" t="n">
        <v>27670</v>
      </c>
      <c r="D28" t="inlineStr">
        <is>
          <t>VH</t>
        </is>
      </c>
      <c r="E28" s="36" t="n">
        <v>106.6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7546</v>
      </c>
      <c r="D33" t="inlineStr">
        <is>
          <t>JV</t>
        </is>
      </c>
      <c r="E33" t="n">
        <v>77</v>
      </c>
    </row>
    <row r="34">
      <c r="A34" t="inlineStr">
        <is>
          <t>VH4</t>
        </is>
      </c>
      <c r="B34" s="32" t="n">
        <v>13584</v>
      </c>
      <c r="D34" t="inlineStr">
        <is>
          <t>VH4</t>
        </is>
      </c>
      <c r="E34" t="n">
        <v>333.8</v>
      </c>
    </row>
    <row r="35">
      <c r="A35" t="inlineStr">
        <is>
          <t>VH2</t>
        </is>
      </c>
      <c r="B35" s="32" t="n">
        <v>7754</v>
      </c>
      <c r="D35" t="inlineStr">
        <is>
          <t>VH2</t>
        </is>
      </c>
      <c r="E35" t="n">
        <v>136</v>
      </c>
    </row>
    <row r="36">
      <c r="A36" t="inlineStr">
        <is>
          <t>VH</t>
        </is>
      </c>
      <c r="B36" s="32" t="n">
        <v>6594</v>
      </c>
      <c r="D36" t="inlineStr">
        <is>
          <t>VH</t>
        </is>
      </c>
      <c r="E36" s="36" t="n">
        <v>41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71" zoomScaleNormal="71" zoomScalePageLayoutView="74" workbookViewId="0">
      <selection activeCell="F3" sqref="F3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0.1833333333333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1466.02</v>
      </c>
      <c r="C3" s="37" t="n">
        <v>2205.1</v>
      </c>
      <c r="D3" s="37" t="n">
        <v>1749.35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1602.01</v>
      </c>
      <c r="C4" s="37" t="n">
        <v>1037.84</v>
      </c>
      <c r="D4" s="37" t="n">
        <v>302.43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27.22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3538.75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588.4299999999999</v>
      </c>
      <c r="C7" s="37" t="n">
        <v>575.9400000000001</v>
      </c>
      <c r="D7" s="37" t="n">
        <v>3774.81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1406.78999999999</v>
      </c>
      <c r="D8" s="37" t="n">
        <v>654.52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384.5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41</v>
      </c>
    </row>
    <row r="17">
      <c r="A17" t="inlineStr">
        <is>
          <t>JV</t>
        </is>
      </c>
      <c r="D17" t="inlineStr">
        <is>
          <t>JV</t>
        </is>
      </c>
      <c r="E17" s="35" t="n">
        <v>233.5</v>
      </c>
    </row>
    <row r="18">
      <c r="A18" t="inlineStr">
        <is>
          <t>VH2</t>
        </is>
      </c>
      <c r="D18" t="inlineStr">
        <is>
          <t>VH2</t>
        </is>
      </c>
      <c r="E18" s="35" t="n">
        <v>16</v>
      </c>
    </row>
    <row r="19">
      <c r="A19" t="inlineStr">
        <is>
          <t>VH</t>
        </is>
      </c>
      <c r="D19" t="inlineStr">
        <is>
          <t>VH</t>
        </is>
      </c>
      <c r="E19" s="35" t="n">
        <v>102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33956</v>
      </c>
      <c r="D23" t="inlineStr">
        <is>
          <t>JVB</t>
        </is>
      </c>
      <c r="E23" s="36" t="n">
        <v>42</v>
      </c>
      <c r="F23" s="32" t="n"/>
    </row>
    <row r="24">
      <c r="A24" t="inlineStr">
        <is>
          <t>JV2</t>
        </is>
      </c>
      <c r="B24" s="32" t="n">
        <v>37106</v>
      </c>
      <c r="D24" t="inlineStr">
        <is>
          <t>JV2</t>
        </is>
      </c>
      <c r="E24" s="36" t="n">
        <v>360</v>
      </c>
    </row>
    <row r="25">
      <c r="A25" t="inlineStr">
        <is>
          <t>JV</t>
        </is>
      </c>
      <c r="B25" s="32" t="n">
        <v>12269</v>
      </c>
      <c r="D25" t="inlineStr">
        <is>
          <t>JV</t>
        </is>
      </c>
      <c r="E25" s="36" t="n">
        <v>81.09999999999999</v>
      </c>
    </row>
    <row r="26">
      <c r="A26" t="inlineStr">
        <is>
          <t>VH3</t>
        </is>
      </c>
      <c r="B26" s="32" t="n">
        <v>4734</v>
      </c>
      <c r="D26" t="inlineStr">
        <is>
          <t>VH3</t>
        </is>
      </c>
      <c r="E26" s="36" t="n">
        <v>10.6</v>
      </c>
    </row>
    <row r="27">
      <c r="A27" t="inlineStr">
        <is>
          <t>VH2</t>
        </is>
      </c>
      <c r="B27" s="32" t="n">
        <v>21991</v>
      </c>
      <c r="D27" t="inlineStr">
        <is>
          <t>VH2</t>
        </is>
      </c>
      <c r="E27" s="36" t="n">
        <v>149.5</v>
      </c>
    </row>
    <row r="28">
      <c r="A28" t="inlineStr">
        <is>
          <t>VH</t>
        </is>
      </c>
      <c r="B28" s="32" t="n">
        <v>44938</v>
      </c>
      <c r="D28" t="inlineStr">
        <is>
          <t>VH</t>
        </is>
      </c>
      <c r="E28" s="36" t="n">
        <v>159.200000000001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4888</v>
      </c>
      <c r="D33" t="inlineStr">
        <is>
          <t>JV</t>
        </is>
      </c>
      <c r="E33" t="n">
        <v>58</v>
      </c>
    </row>
    <row r="34">
      <c r="A34" t="inlineStr">
        <is>
          <t>VH4</t>
        </is>
      </c>
      <c r="B34" s="32" t="n">
        <v>28750</v>
      </c>
      <c r="D34" t="inlineStr">
        <is>
          <t>VH4</t>
        </is>
      </c>
      <c r="E34" t="n">
        <v>566.2</v>
      </c>
    </row>
    <row r="35">
      <c r="A35" t="inlineStr">
        <is>
          <t>VH2</t>
        </is>
      </c>
      <c r="B35" s="32" t="n">
        <v>10833</v>
      </c>
      <c r="D35" t="inlineStr">
        <is>
          <t>VH2</t>
        </is>
      </c>
      <c r="E35" t="n">
        <v>200</v>
      </c>
    </row>
    <row r="36">
      <c r="A36" t="inlineStr">
        <is>
          <t>VH</t>
        </is>
      </c>
      <c r="B36" s="32" t="n">
        <v>32440</v>
      </c>
      <c r="D36" t="inlineStr">
        <is>
          <t>VH</t>
        </is>
      </c>
      <c r="E36" s="36" t="n">
        <v>264.5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19" zoomScale="65" zoomScaleNormal="65" zoomScalePageLayoutView="74" workbookViewId="0">
      <selection activeCell="M17" sqref="M1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0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3264.41</v>
      </c>
      <c r="C3" s="37" t="n">
        <v>1930.01</v>
      </c>
      <c r="D3" s="37" t="n">
        <v>1760.93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2586.4</v>
      </c>
      <c r="C4" s="37" t="n">
        <v>346.14</v>
      </c>
      <c r="D4" s="37" t="n">
        <v>244.6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37" t="n"/>
      <c r="C5" s="37" t="n">
        <v>23.1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3223.125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976.020000000001</v>
      </c>
      <c r="C7" s="37" t="n">
        <v>1974.53</v>
      </c>
      <c r="D7" s="37" t="n">
        <v>5567.96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37" t="n"/>
      <c r="C8" s="37" t="n">
        <v>2096.98999999998</v>
      </c>
      <c r="D8" s="37" t="n">
        <v>996.17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37" t="n"/>
      <c r="C9" s="37" t="n">
        <v>586.4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60.5</v>
      </c>
    </row>
    <row r="17">
      <c r="A17" t="inlineStr">
        <is>
          <t>JV</t>
        </is>
      </c>
      <c r="D17" t="inlineStr">
        <is>
          <t>JV</t>
        </is>
      </c>
      <c r="E17" s="35" t="n">
        <v>346</v>
      </c>
    </row>
    <row r="18">
      <c r="A18" t="inlineStr">
        <is>
          <t>VH2</t>
        </is>
      </c>
      <c r="D18" t="inlineStr">
        <is>
          <t>VH2</t>
        </is>
      </c>
      <c r="E18" s="35" t="n">
        <v>13.5</v>
      </c>
    </row>
    <row r="19">
      <c r="A19" t="inlineStr">
        <is>
          <t>VH</t>
        </is>
      </c>
      <c r="D19" t="inlineStr">
        <is>
          <t>VH</t>
        </is>
      </c>
      <c r="E19" s="35" t="n">
        <v>95.5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51611</v>
      </c>
      <c r="D23" t="inlineStr">
        <is>
          <t>JVB</t>
        </is>
      </c>
      <c r="E23" s="36" t="n">
        <v>63</v>
      </c>
      <c r="F23" s="32" t="n"/>
    </row>
    <row r="24">
      <c r="A24" t="inlineStr">
        <is>
          <t>JV2</t>
        </is>
      </c>
      <c r="B24" s="32" t="n">
        <v>53009</v>
      </c>
      <c r="D24" t="inlineStr">
        <is>
          <t>JV2</t>
        </is>
      </c>
      <c r="E24" s="36" t="n">
        <v>541</v>
      </c>
    </row>
    <row r="25">
      <c r="A25" t="inlineStr">
        <is>
          <t>JV</t>
        </is>
      </c>
      <c r="B25" s="32" t="n">
        <v>37045</v>
      </c>
      <c r="D25" t="inlineStr">
        <is>
          <t>JV</t>
        </is>
      </c>
      <c r="E25" s="36" t="n">
        <v>214.7</v>
      </c>
    </row>
    <row r="26">
      <c r="A26" t="inlineStr">
        <is>
          <t>VH3</t>
        </is>
      </c>
      <c r="B26" s="32" t="n">
        <v>1924</v>
      </c>
      <c r="D26" t="inlineStr">
        <is>
          <t>VH3</t>
        </is>
      </c>
      <c r="E26" s="36" t="n">
        <v>9</v>
      </c>
    </row>
    <row r="27">
      <c r="A27" t="inlineStr">
        <is>
          <t>VH2</t>
        </is>
      </c>
      <c r="B27" s="32" t="n">
        <v>10590</v>
      </c>
      <c r="D27" t="inlineStr">
        <is>
          <t>VH2</t>
        </is>
      </c>
      <c r="E27" s="36" t="n">
        <v>84</v>
      </c>
    </row>
    <row r="28">
      <c r="A28" t="inlineStr">
        <is>
          <t>VH</t>
        </is>
      </c>
      <c r="B28" s="32" t="n">
        <v>39674</v>
      </c>
      <c r="D28" t="inlineStr">
        <is>
          <t>VH</t>
        </is>
      </c>
      <c r="E28" s="36" t="n">
        <v>153.400000000001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8547</v>
      </c>
      <c r="D33" t="inlineStr">
        <is>
          <t>JV</t>
        </is>
      </c>
      <c r="E33" t="n">
        <v>97</v>
      </c>
    </row>
    <row r="34">
      <c r="A34" t="inlineStr">
        <is>
          <t>VH4</t>
        </is>
      </c>
      <c r="B34" s="32" t="n">
        <v>23770</v>
      </c>
      <c r="D34" t="inlineStr">
        <is>
          <t>VH4</t>
        </is>
      </c>
      <c r="E34" t="n">
        <v>515.7</v>
      </c>
    </row>
    <row r="35">
      <c r="A35" t="inlineStr">
        <is>
          <t>VH2</t>
        </is>
      </c>
      <c r="B35" s="32" t="n">
        <v>24706</v>
      </c>
      <c r="D35" t="inlineStr">
        <is>
          <t>VH2</t>
        </is>
      </c>
      <c r="E35" t="n">
        <v>224.5</v>
      </c>
    </row>
    <row r="36">
      <c r="A36" t="inlineStr">
        <is>
          <t>VH</t>
        </is>
      </c>
      <c r="B36" s="32" t="n">
        <v>106861</v>
      </c>
      <c r="D36" t="inlineStr">
        <is>
          <t>VH</t>
        </is>
      </c>
      <c r="E36" s="36" t="n">
        <v>441.5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7"/>
  <sheetViews>
    <sheetView topLeftCell="A2" zoomScale="70" zoomScaleNormal="70" zoomScalePageLayoutView="74" workbookViewId="0">
      <selection activeCell="A27" sqref="A27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3864.92</v>
      </c>
      <c r="C3" s="37" t="n">
        <v>1540.76</v>
      </c>
      <c r="D3" s="37" t="n">
        <v>1601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2437.89</v>
      </c>
      <c r="C4" s="37" t="n">
        <v>480.16</v>
      </c>
      <c r="D4" s="37" t="n">
        <v>1272.26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40" t="n"/>
      <c r="C5" s="37" t="n">
        <v>21.3</v>
      </c>
      <c r="D5" s="37" t="n"/>
      <c r="E5" s="37" t="n"/>
      <c r="F5" s="37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3411.875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913.11</v>
      </c>
      <c r="C7" s="37" t="n">
        <v>1985.88</v>
      </c>
      <c r="D7" s="37" t="n">
        <v>4234.01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1983.30999999998</v>
      </c>
      <c r="D8" s="37" t="n">
        <v>810.59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504.25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47.5</v>
      </c>
    </row>
    <row r="17">
      <c r="A17" t="inlineStr">
        <is>
          <t>JV</t>
        </is>
      </c>
      <c r="D17" t="inlineStr">
        <is>
          <t>JV</t>
        </is>
      </c>
      <c r="E17" s="35" t="n">
        <v>261.5</v>
      </c>
    </row>
    <row r="18">
      <c r="A18" t="inlineStr">
        <is>
          <t>VH2</t>
        </is>
      </c>
      <c r="D18" t="inlineStr">
        <is>
          <t>VH2</t>
        </is>
      </c>
      <c r="E18" s="35" t="n">
        <v>66</v>
      </c>
    </row>
    <row r="19">
      <c r="A19" t="inlineStr">
        <is>
          <t>VH</t>
        </is>
      </c>
      <c r="D19" t="inlineStr">
        <is>
          <t>VH</t>
        </is>
      </c>
      <c r="E19" s="35" t="n">
        <v>85.5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38285</v>
      </c>
      <c r="D23" t="inlineStr">
        <is>
          <t>JVB</t>
        </is>
      </c>
      <c r="E23" s="36" t="n">
        <v>55</v>
      </c>
      <c r="F23" s="32" t="n"/>
    </row>
    <row r="24">
      <c r="A24" t="inlineStr">
        <is>
          <t>JV2</t>
        </is>
      </c>
      <c r="B24" s="32" t="n">
        <v>50036</v>
      </c>
      <c r="D24" t="inlineStr">
        <is>
          <t>JV2</t>
        </is>
      </c>
      <c r="E24" s="36" t="n">
        <v>509</v>
      </c>
    </row>
    <row r="25">
      <c r="A25" t="inlineStr">
        <is>
          <t>JV</t>
        </is>
      </c>
      <c r="B25" s="32" t="n">
        <v>33486</v>
      </c>
      <c r="D25" t="inlineStr">
        <is>
          <t>JV</t>
        </is>
      </c>
      <c r="E25" s="36" t="n">
        <v>176.1</v>
      </c>
    </row>
    <row r="26">
      <c r="A26" t="inlineStr">
        <is>
          <t>VH3</t>
        </is>
      </c>
      <c r="B26" s="32" t="n">
        <v>1605</v>
      </c>
      <c r="D26" t="inlineStr">
        <is>
          <t>VH3</t>
        </is>
      </c>
      <c r="E26" s="36" t="n">
        <v>8.300000000000001</v>
      </c>
    </row>
    <row r="27">
      <c r="A27" t="inlineStr">
        <is>
          <t>VH2</t>
        </is>
      </c>
      <c r="B27" s="32" t="n">
        <v>12106</v>
      </c>
      <c r="D27" t="inlineStr">
        <is>
          <t>VH2</t>
        </is>
      </c>
      <c r="E27" s="36" t="n">
        <v>100.3</v>
      </c>
    </row>
    <row r="28">
      <c r="A28" t="inlineStr">
        <is>
          <t>VH</t>
        </is>
      </c>
      <c r="B28" s="32" t="n">
        <v>42748</v>
      </c>
      <c r="D28" t="inlineStr">
        <is>
          <t>VH</t>
        </is>
      </c>
      <c r="E28" s="36" t="n">
        <v>163.800000000001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8367</v>
      </c>
      <c r="D33" t="inlineStr">
        <is>
          <t>JV</t>
        </is>
      </c>
      <c r="E33" t="n">
        <v>90</v>
      </c>
    </row>
    <row r="34">
      <c r="A34" t="inlineStr">
        <is>
          <t>VH4</t>
        </is>
      </c>
      <c r="B34" s="32" t="n">
        <v>21646</v>
      </c>
      <c r="D34" t="inlineStr">
        <is>
          <t>VH4</t>
        </is>
      </c>
      <c r="E34" t="n">
        <v>545.9</v>
      </c>
    </row>
    <row r="35">
      <c r="A35" t="inlineStr">
        <is>
          <t>VH2</t>
        </is>
      </c>
      <c r="B35" s="32" t="n">
        <v>26459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147697</v>
      </c>
      <c r="D36" t="inlineStr">
        <is>
          <t>VH</t>
        </is>
      </c>
      <c r="E36" s="36" t="n">
        <v>466.5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P25" sqref="P25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37" t="n">
        <v>2939.94</v>
      </c>
      <c r="C3" s="37" t="n">
        <v>1665.47</v>
      </c>
      <c r="D3" s="37" t="n">
        <v>2020.65</v>
      </c>
      <c r="E3" s="37" t="n"/>
      <c r="F3" s="37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37" t="n">
        <v>2479.52</v>
      </c>
      <c r="C4" s="37" t="n">
        <v>1368.22</v>
      </c>
      <c r="D4" s="37" t="n">
        <v>711.01</v>
      </c>
      <c r="E4" s="37" t="n"/>
      <c r="F4" s="37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C5" s="37" t="n">
        <v>26.7</v>
      </c>
      <c r="D5" s="37" t="n"/>
      <c r="E5" s="37" t="n"/>
      <c r="F5" s="37">
        <f>SUM(B5:E5)</f>
        <v/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37" t="n">
        <v>3500</v>
      </c>
      <c r="C6" s="37" t="n"/>
      <c r="D6" s="37" t="n"/>
      <c r="E6" s="37" t="n"/>
      <c r="F6" s="37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1044.99</v>
      </c>
      <c r="C7" s="37" t="n">
        <v>1544.96</v>
      </c>
      <c r="D7" s="37" t="n">
        <v>5279.18999999999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2076.68999999998</v>
      </c>
      <c r="D8" s="37" t="n">
        <v>628.78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506.28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35" t="n">
        <v>38</v>
      </c>
    </row>
    <row r="17">
      <c r="A17" t="inlineStr">
        <is>
          <t>JV</t>
        </is>
      </c>
      <c r="D17" t="inlineStr">
        <is>
          <t>JV</t>
        </is>
      </c>
      <c r="E17" s="35" t="n">
        <v>327</v>
      </c>
    </row>
    <row r="18">
      <c r="A18" t="inlineStr">
        <is>
          <t>VH2</t>
        </is>
      </c>
      <c r="D18" t="inlineStr">
        <is>
          <t>VH2</t>
        </is>
      </c>
      <c r="E18" s="35" t="n">
        <v>39</v>
      </c>
    </row>
    <row r="19">
      <c r="A19" t="inlineStr">
        <is>
          <t>VH</t>
        </is>
      </c>
      <c r="D19" t="inlineStr">
        <is>
          <t>VH</t>
        </is>
      </c>
      <c r="E19" s="35" t="n">
        <v>97.5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41603</v>
      </c>
      <c r="D23" t="inlineStr">
        <is>
          <t>JVB</t>
        </is>
      </c>
      <c r="E23" s="36" t="n">
        <v>55.5</v>
      </c>
      <c r="F23" s="32" t="n"/>
    </row>
    <row r="24">
      <c r="A24" t="inlineStr">
        <is>
          <t>JV2</t>
        </is>
      </c>
      <c r="B24" s="32" t="n">
        <v>53653</v>
      </c>
      <c r="D24" t="inlineStr">
        <is>
          <t>JV2</t>
        </is>
      </c>
      <c r="E24" s="36" t="n">
        <v>548</v>
      </c>
    </row>
    <row r="25">
      <c r="A25" t="inlineStr">
        <is>
          <t>JV</t>
        </is>
      </c>
      <c r="B25" s="32" t="n">
        <v>24746</v>
      </c>
      <c r="D25" t="inlineStr">
        <is>
          <t>JV</t>
        </is>
      </c>
      <c r="E25" s="36" t="n">
        <v>142.8</v>
      </c>
    </row>
    <row r="26">
      <c r="A26" t="inlineStr">
        <is>
          <t>VH3</t>
        </is>
      </c>
      <c r="B26" s="32" t="n">
        <v>2730</v>
      </c>
      <c r="D26" t="inlineStr">
        <is>
          <t>VH3</t>
        </is>
      </c>
      <c r="E26" s="36" t="n">
        <v>10.4</v>
      </c>
    </row>
    <row r="27">
      <c r="A27" t="inlineStr">
        <is>
          <t>VH2</t>
        </is>
      </c>
      <c r="B27" s="32" t="n">
        <v>34632</v>
      </c>
      <c r="D27" t="inlineStr">
        <is>
          <t>VH2</t>
        </is>
      </c>
      <c r="E27" s="36" t="n">
        <v>209.9</v>
      </c>
    </row>
    <row r="28">
      <c r="A28" t="inlineStr">
        <is>
          <t>VH</t>
        </is>
      </c>
      <c r="B28" s="32" t="n">
        <v>52607</v>
      </c>
      <c r="D28" t="inlineStr">
        <is>
          <t>VH</t>
        </is>
      </c>
      <c r="E28" s="36" t="n">
        <v>178.6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9039</v>
      </c>
      <c r="D33" t="inlineStr">
        <is>
          <t>JV</t>
        </is>
      </c>
      <c r="E33" t="n">
        <v>103</v>
      </c>
    </row>
    <row r="34">
      <c r="A34" t="inlineStr">
        <is>
          <t>VH4</t>
        </is>
      </c>
      <c r="B34" s="32" t="n">
        <v>28513</v>
      </c>
      <c r="D34" t="inlineStr">
        <is>
          <t>VH4</t>
        </is>
      </c>
      <c r="E34" t="n">
        <v>560</v>
      </c>
    </row>
    <row r="35">
      <c r="A35" t="inlineStr">
        <is>
          <t>VH2</t>
        </is>
      </c>
      <c r="B35" s="32" t="n">
        <v>23300</v>
      </c>
      <c r="D35" t="inlineStr">
        <is>
          <t>VH2</t>
        </is>
      </c>
      <c r="E35" t="n">
        <v>205</v>
      </c>
    </row>
    <row r="36">
      <c r="A36" t="inlineStr">
        <is>
          <t>VH</t>
        </is>
      </c>
      <c r="B36" s="32" t="n">
        <v>58429</v>
      </c>
      <c r="D36" t="inlineStr">
        <is>
          <t>VH</t>
        </is>
      </c>
      <c r="E36" s="36" t="n">
        <v>330.5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7"/>
  <sheetViews>
    <sheetView zoomScalePageLayoutView="74" workbookViewId="0">
      <selection activeCell="G32" sqref="G32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Jun 2024)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3070.46</v>
      </c>
      <c r="C3" s="41" t="n">
        <v>1749.91</v>
      </c>
      <c r="D3" s="41" t="n">
        <v>2072.29</v>
      </c>
      <c r="E3" s="5" t="n"/>
      <c r="F3" s="41" t="n">
        <v>6892.66</v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2280.95</v>
      </c>
      <c r="C4" s="41" t="n">
        <v>830.41</v>
      </c>
      <c r="D4" s="41" t="n">
        <v>256.91</v>
      </c>
      <c r="E4" s="5" t="n"/>
      <c r="F4" s="41" t="n">
        <v>3368.27</v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91.92</v>
      </c>
      <c r="D5" s="5" t="n"/>
      <c r="E5" s="5" t="n"/>
      <c r="F5" s="41" t="n">
        <v>91.92</v>
      </c>
      <c r="G5" s="38">
        <f>B6+C5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3608.75</v>
      </c>
      <c r="C6" s="5" t="n"/>
      <c r="D6" s="5" t="n"/>
      <c r="E6" s="5" t="n"/>
      <c r="F6" s="41" t="n">
        <v>3608.75</v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1708.56</v>
      </c>
      <c r="C7" s="37" t="n">
        <v>1776.43</v>
      </c>
      <c r="D7" s="37" t="n">
        <v>4649.39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2776.88</v>
      </c>
      <c r="D8" s="37" t="n">
        <v>664.0599999999999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601.63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37</v>
      </c>
    </row>
    <row r="17">
      <c r="A17" t="inlineStr">
        <is>
          <t>JV</t>
        </is>
      </c>
      <c r="D17" t="inlineStr">
        <is>
          <t>JV</t>
        </is>
      </c>
      <c r="E17" s="5" t="n">
        <v>289.5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103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51443</v>
      </c>
      <c r="D23" t="inlineStr">
        <is>
          <t>JVB</t>
        </is>
      </c>
      <c r="E23" s="32" t="n">
        <v>67</v>
      </c>
      <c r="F23" s="32" t="n"/>
    </row>
    <row r="24">
      <c r="A24" t="inlineStr">
        <is>
          <t>JV2</t>
        </is>
      </c>
      <c r="B24" s="32" t="n">
        <v>60278</v>
      </c>
      <c r="D24" t="inlineStr">
        <is>
          <t>JV2</t>
        </is>
      </c>
      <c r="E24" s="32" t="n">
        <v>738</v>
      </c>
    </row>
    <row r="25">
      <c r="A25" t="inlineStr">
        <is>
          <t>JV</t>
        </is>
      </c>
      <c r="B25" s="32" t="n">
        <v>34144</v>
      </c>
      <c r="D25" t="inlineStr">
        <is>
          <t>JV</t>
        </is>
      </c>
      <c r="E25" s="32" t="n">
        <v>165</v>
      </c>
    </row>
    <row r="26">
      <c r="A26" t="inlineStr">
        <is>
          <t>VH3</t>
        </is>
      </c>
      <c r="B26" s="32" t="n">
        <v>5377</v>
      </c>
      <c r="D26" t="inlineStr">
        <is>
          <t>VH3</t>
        </is>
      </c>
      <c r="E26" s="5" t="n">
        <v>35.8</v>
      </c>
      <c r="H26" t="inlineStr">
        <is>
          <t>"</t>
        </is>
      </c>
    </row>
    <row r="27">
      <c r="A27" t="inlineStr">
        <is>
          <t>VH2</t>
        </is>
      </c>
      <c r="B27" s="32" t="n">
        <v>22580</v>
      </c>
      <c r="D27" t="inlineStr">
        <is>
          <t>VH2</t>
        </is>
      </c>
      <c r="E27" s="5" t="n">
        <v>162.2</v>
      </c>
    </row>
    <row r="28">
      <c r="A28" t="inlineStr">
        <is>
          <t>VH</t>
        </is>
      </c>
      <c r="B28" s="32" t="n">
        <v>46326</v>
      </c>
      <c r="D28" t="inlineStr">
        <is>
          <t>VH</t>
        </is>
      </c>
      <c r="E28" s="5" t="n">
        <v>175.7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11872</v>
      </c>
      <c r="D33" t="inlineStr">
        <is>
          <t>JV</t>
        </is>
      </c>
      <c r="E33" t="n">
        <v>159</v>
      </c>
    </row>
    <row r="34">
      <c r="A34" t="inlineStr">
        <is>
          <t>VH4</t>
        </is>
      </c>
      <c r="B34" s="32" t="n">
        <v>29715</v>
      </c>
      <c r="D34" t="inlineStr">
        <is>
          <t>VH4</t>
        </is>
      </c>
      <c r="E34" t="n">
        <v>577.4</v>
      </c>
    </row>
    <row r="35">
      <c r="A35" t="inlineStr">
        <is>
          <t>VH2</t>
        </is>
      </c>
      <c r="B35" s="32" t="n">
        <v>17479</v>
      </c>
      <c r="D35" t="inlineStr">
        <is>
          <t>VH2</t>
        </is>
      </c>
      <c r="E35" t="n">
        <v>206</v>
      </c>
    </row>
    <row r="36">
      <c r="A36" t="inlineStr">
        <is>
          <t>VH</t>
        </is>
      </c>
      <c r="B36" s="32" t="n">
        <v>63603</v>
      </c>
      <c r="D36" t="inlineStr">
        <is>
          <t>VH</t>
        </is>
      </c>
      <c r="E36" s="36" t="n">
        <v>341.6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4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Aug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6737.58</v>
      </c>
      <c r="C3" s="41" t="n">
        <v>1624.04</v>
      </c>
      <c r="D3" s="41" t="n">
        <v>1750.99</v>
      </c>
      <c r="E3" s="5" t="n"/>
      <c r="F3" s="43">
        <f>SUM(B3:E3)</f>
        <v/>
      </c>
      <c r="G3" s="44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2179.06</v>
      </c>
      <c r="C4" s="41" t="n">
        <v>447.06</v>
      </c>
      <c r="D4" s="41" t="n">
        <v>237.83</v>
      </c>
      <c r="E4" s="5" t="n"/>
      <c r="F4" s="43">
        <f>SUM(B4:E4)</f>
        <v/>
      </c>
      <c r="G4" s="44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101.9</v>
      </c>
      <c r="D5" s="5" t="n"/>
      <c r="E5" s="5" t="n"/>
      <c r="F5" s="43">
        <f>SUM(B5:E5)</f>
        <v/>
      </c>
      <c r="G5" s="44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3551.88</v>
      </c>
      <c r="C6" s="5" t="n"/>
      <c r="D6" s="5" t="n"/>
      <c r="E6" s="5" t="n"/>
      <c r="F6" s="43">
        <f>SUM(B6:E6)</f>
        <v/>
      </c>
      <c r="G6" s="44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9" t="n">
        <v>1298.72</v>
      </c>
      <c r="C7" s="39" t="n">
        <v>665.74</v>
      </c>
      <c r="D7" s="39" t="n">
        <v>4566.61</v>
      </c>
      <c r="E7" s="39" t="n"/>
      <c r="F7" s="39">
        <f>SUM(B7:E7)</f>
        <v/>
      </c>
      <c r="G7" s="44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5" t="n"/>
      <c r="C8" s="39" t="n">
        <v>1595.58</v>
      </c>
      <c r="D8" s="39" t="n">
        <v>522.27</v>
      </c>
      <c r="E8" s="39" t="n"/>
      <c r="F8" s="39">
        <f>SUM(B8:E8)</f>
        <v/>
      </c>
      <c r="G8" s="44">
        <f>B8+C8</f>
        <v/>
      </c>
      <c r="H8" s="18" t="n"/>
      <c r="I8" s="2" t="n"/>
      <c r="J8" s="18" t="inlineStr">
        <is>
          <t>CLG</t>
        </is>
      </c>
      <c r="K8" s="39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5" t="n"/>
      <c r="C9" s="39" t="n">
        <v>493.08</v>
      </c>
      <c r="D9" s="39" t="n"/>
      <c r="E9" s="39" t="n"/>
      <c r="F9" s="39">
        <f>SUM(B9:E9)</f>
        <v/>
      </c>
      <c r="G9" s="44">
        <f>B9+C9</f>
        <v/>
      </c>
      <c r="H9" s="18" t="n"/>
      <c r="I9" s="18" t="n"/>
      <c r="J9" s="46" t="n"/>
      <c r="K9" s="46" t="n"/>
      <c r="L9" s="18" t="n"/>
      <c r="M9" s="18" t="n"/>
      <c r="N9" s="18" t="n"/>
    </row>
    <row r="10">
      <c r="A10" s="18" t="inlineStr">
        <is>
          <t>CLG</t>
        </is>
      </c>
      <c r="B10" s="39">
        <f>SUM(B3:B9)</f>
        <v/>
      </c>
      <c r="C10" s="39">
        <f>SUM(C3:C9)</f>
        <v/>
      </c>
      <c r="D10" s="39">
        <f>SUM(D3:D9)</f>
        <v/>
      </c>
      <c r="E10" s="39">
        <f>SUM(E3:E9)</f>
        <v/>
      </c>
      <c r="F10" s="39">
        <f>SUM(B10:E10)</f>
        <v/>
      </c>
      <c r="G10" s="44">
        <f>B10+C10</f>
        <v/>
      </c>
      <c r="H10" s="18" t="n"/>
      <c r="I10" s="18" t="n"/>
      <c r="J10" s="46" t="n"/>
      <c r="K10" s="46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4"/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31.5</v>
      </c>
    </row>
    <row r="17">
      <c r="A17" t="inlineStr">
        <is>
          <t>JV</t>
        </is>
      </c>
      <c r="D17" t="inlineStr">
        <is>
          <t>JV</t>
        </is>
      </c>
      <c r="E17" s="5" t="n">
        <v>279</v>
      </c>
    </row>
    <row r="18">
      <c r="A18" t="inlineStr">
        <is>
          <t>VH2</t>
        </is>
      </c>
      <c r="D18" t="inlineStr">
        <is>
          <t>VH2</t>
        </is>
      </c>
      <c r="E18" s="5" t="n">
        <v>11</v>
      </c>
    </row>
    <row r="19">
      <c r="A19" t="inlineStr">
        <is>
          <t>VH</t>
        </is>
      </c>
      <c r="D19" t="inlineStr">
        <is>
          <t>VH</t>
        </is>
      </c>
      <c r="E19" s="5" t="n">
        <v>84.5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1"/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3" t="n">
        <v>39553</v>
      </c>
      <c r="D23" t="inlineStr">
        <is>
          <t>JVB</t>
        </is>
      </c>
      <c r="E23" s="33" t="n">
        <v>55.5</v>
      </c>
      <c r="F23" s="33" t="n"/>
    </row>
    <row r="24">
      <c r="A24" t="inlineStr">
        <is>
          <t>JV2</t>
        </is>
      </c>
      <c r="B24" s="33" t="n">
        <v>44113</v>
      </c>
      <c r="D24" t="inlineStr">
        <is>
          <t>JV2</t>
        </is>
      </c>
      <c r="E24" s="33" t="n">
        <v>455</v>
      </c>
    </row>
    <row r="25">
      <c r="A25" t="inlineStr">
        <is>
          <t>JV</t>
        </is>
      </c>
      <c r="B25" s="33" t="n">
        <v>15701</v>
      </c>
      <c r="D25" t="inlineStr">
        <is>
          <t>JV</t>
        </is>
      </c>
      <c r="E25" s="33" t="n">
        <v>112.1</v>
      </c>
    </row>
    <row r="26">
      <c r="A26" t="inlineStr">
        <is>
          <t>VH3</t>
        </is>
      </c>
      <c r="B26" s="33" t="n">
        <v>8108</v>
      </c>
      <c r="D26" t="inlineStr">
        <is>
          <t>VH3</t>
        </is>
      </c>
      <c r="E26" s="5" t="n">
        <v>32.2</v>
      </c>
      <c r="H26" t="inlineStr">
        <is>
          <t>"</t>
        </is>
      </c>
    </row>
    <row r="27">
      <c r="A27" t="inlineStr">
        <is>
          <t>VH2</t>
        </is>
      </c>
      <c r="B27" s="33" t="n">
        <v>11534</v>
      </c>
      <c r="D27" t="inlineStr">
        <is>
          <t>VH2</t>
        </is>
      </c>
      <c r="E27" s="5" t="n">
        <v>109.2</v>
      </c>
    </row>
    <row r="28">
      <c r="A28" t="inlineStr">
        <is>
          <t>VH</t>
        </is>
      </c>
      <c r="B28" s="33" t="n">
        <v>62242</v>
      </c>
      <c r="D28" t="inlineStr">
        <is>
          <t>VH</t>
        </is>
      </c>
      <c r="E28" s="5" t="n">
        <v>214.2000000000008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47">
        <f>SUM(E23:E28)</f>
        <v/>
      </c>
    </row>
    <row r="30"/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3" t="n"/>
      <c r="D32" t="inlineStr">
        <is>
          <t>JVB</t>
        </is>
      </c>
    </row>
    <row r="33">
      <c r="A33" t="inlineStr">
        <is>
          <t>JV</t>
        </is>
      </c>
      <c r="B33" s="33" t="n">
        <v>14796</v>
      </c>
      <c r="D33" t="inlineStr">
        <is>
          <t>JV</t>
        </is>
      </c>
      <c r="E33" t="n">
        <v>128</v>
      </c>
    </row>
    <row r="34">
      <c r="A34" t="inlineStr">
        <is>
          <t>VH4</t>
        </is>
      </c>
      <c r="B34" s="33" t="n">
        <v>36945</v>
      </c>
      <c r="D34" t="inlineStr">
        <is>
          <t>VH4</t>
        </is>
      </c>
      <c r="E34" t="n">
        <v>568.3000000000002</v>
      </c>
    </row>
    <row r="35">
      <c r="A35" t="inlineStr">
        <is>
          <t>VH2</t>
        </is>
      </c>
      <c r="B35" s="33" t="n">
        <v>17932</v>
      </c>
      <c r="D35" t="inlineStr">
        <is>
          <t>VH2</t>
        </is>
      </c>
      <c r="E35" t="n">
        <v>204.5</v>
      </c>
    </row>
    <row r="36">
      <c r="A36" t="inlineStr">
        <is>
          <t>VH</t>
        </is>
      </c>
      <c r="B36" s="33" t="n">
        <v>120824</v>
      </c>
      <c r="D36" t="inlineStr">
        <is>
          <t>VH</t>
        </is>
      </c>
      <c r="E36" s="47" t="n">
        <v>455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1308.72</v>
      </c>
      <c r="C7" s="37" t="n">
        <v>580.45</v>
      </c>
      <c r="D7" s="37" t="n">
        <v>6558.06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1845.27</v>
      </c>
      <c r="D8" s="37" t="n">
        <v>767.6900000000001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513.38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38959</v>
      </c>
      <c r="D23" t="inlineStr">
        <is>
          <t>JVB</t>
        </is>
      </c>
      <c r="E23" s="32" t="n">
        <v>56.5</v>
      </c>
      <c r="F23" s="32" t="n"/>
    </row>
    <row r="24">
      <c r="A24" t="inlineStr">
        <is>
          <t>JV2</t>
        </is>
      </c>
      <c r="B24" s="32" t="n">
        <v>45571</v>
      </c>
      <c r="D24" t="inlineStr">
        <is>
          <t>JV2</t>
        </is>
      </c>
      <c r="E24" s="32" t="n">
        <v>526</v>
      </c>
    </row>
    <row r="25">
      <c r="A25" t="inlineStr">
        <is>
          <t>JV</t>
        </is>
      </c>
      <c r="B25" s="32" t="n">
        <v>13814</v>
      </c>
      <c r="D25" t="inlineStr">
        <is>
          <t>JV</t>
        </is>
      </c>
      <c r="E25" s="32" t="n">
        <v>95.8</v>
      </c>
    </row>
    <row r="26">
      <c r="A26" t="inlineStr">
        <is>
          <t>VH3</t>
        </is>
      </c>
      <c r="B26" s="32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2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2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2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2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2" t="n">
        <v>69184</v>
      </c>
      <c r="D36" t="inlineStr">
        <is>
          <t>VH</t>
        </is>
      </c>
      <c r="E36" s="36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ColWidth="9" defaultRowHeight="14.25"/>
  <cols>
    <col width="12.1833333333333" customWidth="1" style="20" min="1" max="1"/>
    <col width="15.6333333333333" customWidth="1" style="20" min="2" max="2"/>
    <col width="13.1833333333333" customWidth="1" style="20" min="3" max="3"/>
    <col width="12.1833333333333" customWidth="1" style="20" min="4" max="6"/>
    <col width="21.725" customWidth="1" style="20" min="7" max="7"/>
    <col width="12.5416666666667" customWidth="1" style="20" min="10" max="10"/>
    <col width="11.5416666666667" customWidth="1" style="20" min="11" max="11"/>
    <col width="9.81666666666667" customWidth="1" style="20" min="12" max="12"/>
    <col width="12.9083333333333" customWidth="1" style="20" min="13" max="13"/>
  </cols>
  <sheetData>
    <row r="1">
      <c r="A1" s="18" t="inlineStr">
        <is>
          <t>COPQ Overview (Based on Sep 2026)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</row>
    <row r="2">
      <c r="A2" s="18" t="inlineStr">
        <is>
          <t>Factory</t>
        </is>
      </c>
      <c r="B2" s="2" t="inlineStr">
        <is>
          <t>Touch up paint</t>
        </is>
      </c>
      <c r="C2" s="2" t="inlineStr">
        <is>
          <t>Re-inspection</t>
        </is>
      </c>
      <c r="D2" s="2" t="inlineStr">
        <is>
          <t>B/C Grade</t>
        </is>
      </c>
      <c r="E2" s="2" t="inlineStr">
        <is>
          <t>Rework</t>
        </is>
      </c>
      <c r="F2" s="18" t="inlineStr">
        <is>
          <t>Total cost ($)</t>
        </is>
      </c>
      <c r="G2" s="3" t="inlineStr">
        <is>
          <t>Reinspection+Bottom touch up paint</t>
        </is>
      </c>
      <c r="H2" s="18" t="n"/>
      <c r="I2" s="18" t="inlineStr">
        <is>
          <t>Factory</t>
        </is>
      </c>
      <c r="J2" s="18" t="inlineStr">
        <is>
          <t>Total cost ($)</t>
        </is>
      </c>
      <c r="K2" s="18" t="n"/>
      <c r="L2" s="18" t="inlineStr">
        <is>
          <t>Factory</t>
        </is>
      </c>
      <c r="M2" s="18" t="inlineStr">
        <is>
          <t>Total cost ($)</t>
        </is>
      </c>
      <c r="N2" s="18" t="n"/>
    </row>
    <row r="3">
      <c r="A3" s="18" t="inlineStr">
        <is>
          <t>VH</t>
        </is>
      </c>
      <c r="B3" s="41" t="n">
        <v>3095.89</v>
      </c>
      <c r="C3" s="41" t="n">
        <v>1229.97</v>
      </c>
      <c r="D3" s="41" t="n">
        <v>1584.47</v>
      </c>
      <c r="E3" s="5" t="n"/>
      <c r="F3" s="43">
        <f>SUM(B3:E3)</f>
        <v/>
      </c>
      <c r="G3" s="38">
        <f>B3+C3</f>
        <v/>
      </c>
      <c r="H3" s="18" t="n"/>
      <c r="I3" s="18" t="inlineStr">
        <is>
          <t>VN</t>
        </is>
      </c>
      <c r="J3" s="39">
        <f>F3+F4+F5+F6</f>
        <v/>
      </c>
      <c r="K3" s="15" t="n"/>
      <c r="L3" s="18" t="inlineStr">
        <is>
          <t>Indo</t>
        </is>
      </c>
      <c r="M3" s="39">
        <f>F7+F8+F9</f>
        <v/>
      </c>
      <c r="N3" s="15" t="n"/>
    </row>
    <row r="4">
      <c r="A4" s="18" t="inlineStr">
        <is>
          <t>VH2</t>
        </is>
      </c>
      <c r="B4" s="41" t="n">
        <v>2325.06</v>
      </c>
      <c r="C4" s="41" t="n">
        <v>544.84</v>
      </c>
      <c r="D4" s="41" t="n">
        <v>125.94</v>
      </c>
      <c r="E4" s="5" t="n"/>
      <c r="F4" s="43">
        <f>SUM(B4:E4)</f>
        <v/>
      </c>
      <c r="G4" s="38">
        <f>B4+C4</f>
        <v/>
      </c>
      <c r="H4" s="18" t="n"/>
      <c r="I4" s="18" t="n"/>
      <c r="J4" s="18" t="n"/>
      <c r="K4" s="15" t="n"/>
      <c r="L4" s="18" t="n"/>
      <c r="M4" s="18" t="n"/>
      <c r="N4" s="18" t="n"/>
    </row>
    <row r="5">
      <c r="A5" s="18" t="inlineStr">
        <is>
          <t>VH3</t>
        </is>
      </c>
      <c r="B5" s="5" t="n"/>
      <c r="C5" s="41" t="n">
        <v>97.8</v>
      </c>
      <c r="D5" s="5" t="n"/>
      <c r="E5" s="5" t="n"/>
      <c r="F5" s="43">
        <f>SUM(B5:E5)</f>
        <v/>
      </c>
      <c r="G5" s="38">
        <f>B5+C5</f>
        <v/>
      </c>
      <c r="H5" s="18" t="n"/>
      <c r="I5" s="18" t="n"/>
      <c r="J5" s="18" t="inlineStr">
        <is>
          <t>Factory</t>
        </is>
      </c>
      <c r="K5" s="15" t="inlineStr">
        <is>
          <t>Total cost ($)</t>
        </is>
      </c>
      <c r="L5" s="18" t="n"/>
      <c r="M5" s="18" t="n"/>
      <c r="N5" s="18" t="n"/>
    </row>
    <row r="6">
      <c r="A6" s="18" t="inlineStr">
        <is>
          <t>VH4</t>
        </is>
      </c>
      <c r="B6" s="41" t="n">
        <v>3116.88</v>
      </c>
      <c r="C6" s="5" t="n">
        <v>13.12</v>
      </c>
      <c r="D6" s="5" t="n"/>
      <c r="E6" s="5" t="n"/>
      <c r="F6" s="43">
        <f>SUM(B6:E6)</f>
        <v/>
      </c>
      <c r="G6" s="38">
        <f>B6+C6</f>
        <v/>
      </c>
      <c r="H6" s="18" t="n"/>
      <c r="I6" s="18" t="n"/>
      <c r="J6" s="18" t="inlineStr">
        <is>
          <t>VN</t>
        </is>
      </c>
      <c r="K6" s="39">
        <f>J3</f>
        <v/>
      </c>
      <c r="L6" s="18" t="n"/>
      <c r="M6" s="18" t="n"/>
      <c r="N6" s="18" t="n"/>
    </row>
    <row r="7">
      <c r="A7" s="18" t="inlineStr">
        <is>
          <t>JV</t>
        </is>
      </c>
      <c r="B7" s="37" t="n">
        <v>1308.72</v>
      </c>
      <c r="C7" s="37" t="n">
        <v>580.45</v>
      </c>
      <c r="D7" s="37" t="n">
        <v>6558.06</v>
      </c>
      <c r="E7" s="37" t="n"/>
      <c r="F7" s="37">
        <f>SUM(B7:E7)</f>
        <v/>
      </c>
      <c r="G7" s="38">
        <f>B7+C7</f>
        <v/>
      </c>
      <c r="H7" s="18" t="n"/>
      <c r="I7" s="18" t="n"/>
      <c r="J7" s="18" t="inlineStr">
        <is>
          <t>Indo</t>
        </is>
      </c>
      <c r="K7" s="39">
        <f>M3</f>
        <v/>
      </c>
      <c r="L7" s="18" t="n"/>
      <c r="M7" s="18" t="n"/>
      <c r="N7" s="18" t="n"/>
    </row>
    <row r="8">
      <c r="A8" s="18" t="inlineStr">
        <is>
          <t>JV2</t>
        </is>
      </c>
      <c r="B8" s="40" t="n"/>
      <c r="C8" s="37" t="n">
        <v>1845.27</v>
      </c>
      <c r="D8" s="37" t="n">
        <v>767.6900000000001</v>
      </c>
      <c r="E8" s="37" t="n"/>
      <c r="F8" s="37">
        <f>SUM(B8:E8)</f>
        <v/>
      </c>
      <c r="G8" s="38">
        <f>B8+C8</f>
        <v/>
      </c>
      <c r="H8" s="18" t="n"/>
      <c r="I8" s="2" t="n"/>
      <c r="J8" s="18" t="inlineStr">
        <is>
          <t>CLG</t>
        </is>
      </c>
      <c r="K8" s="37">
        <f>K6+K7</f>
        <v/>
      </c>
      <c r="L8" s="18" t="n"/>
      <c r="M8" s="18" t="n"/>
      <c r="N8" s="18" t="n"/>
    </row>
    <row r="9">
      <c r="A9" s="18" t="inlineStr">
        <is>
          <t>JVB</t>
        </is>
      </c>
      <c r="B9" s="40" t="n"/>
      <c r="C9" s="37" t="n">
        <v>513.38</v>
      </c>
      <c r="D9" s="37" t="n"/>
      <c r="E9" s="37" t="n"/>
      <c r="F9" s="37">
        <f>SUM(B9:E9)</f>
        <v/>
      </c>
      <c r="G9" s="38">
        <f>B9+C9</f>
        <v/>
      </c>
      <c r="H9" s="18" t="n"/>
      <c r="I9" s="18" t="n"/>
      <c r="J9" s="17" t="n"/>
      <c r="K9" s="17" t="n"/>
      <c r="L9" s="18" t="n"/>
      <c r="M9" s="18" t="n"/>
      <c r="N9" s="18" t="n"/>
    </row>
    <row r="10">
      <c r="A10" s="18" t="inlineStr">
        <is>
          <t>CLG</t>
        </is>
      </c>
      <c r="B10" s="37">
        <f>SUM(B3:B9)</f>
        <v/>
      </c>
      <c r="C10" s="37">
        <f>SUM(C3:C9)</f>
        <v/>
      </c>
      <c r="D10" s="37">
        <f>SUM(D3:D9)</f>
        <v/>
      </c>
      <c r="E10" s="37">
        <f>SUM(E3:E9)</f>
        <v/>
      </c>
      <c r="F10" s="37">
        <f>SUM(B10:E10)</f>
        <v/>
      </c>
      <c r="G10" s="38">
        <f>B10+C10</f>
        <v/>
      </c>
      <c r="H10" s="18" t="n"/>
      <c r="I10" s="18" t="n"/>
      <c r="J10" s="17" t="n"/>
      <c r="K10" s="17" t="n"/>
      <c r="L10" s="18" t="n"/>
      <c r="M10" s="18" t="n"/>
      <c r="N10" s="18" t="n"/>
    </row>
    <row r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I12" s="31" t="n"/>
    </row>
    <row r="13">
      <c r="L13" s="31" t="n"/>
    </row>
    <row r="15">
      <c r="A15" t="inlineStr">
        <is>
          <t>Rework</t>
        </is>
      </c>
      <c r="B15" t="inlineStr">
        <is>
          <t>Number of lines</t>
        </is>
      </c>
      <c r="D15" t="inlineStr">
        <is>
          <t>BC Grade</t>
        </is>
      </c>
      <c r="E15" t="inlineStr">
        <is>
          <t>Quantity (prs)</t>
        </is>
      </c>
    </row>
    <row r="16">
      <c r="A16" t="inlineStr">
        <is>
          <t>JV2</t>
        </is>
      </c>
      <c r="D16" t="inlineStr">
        <is>
          <t>JV2</t>
        </is>
      </c>
      <c r="E16" s="5" t="n">
        <v>48</v>
      </c>
    </row>
    <row r="17">
      <c r="A17" t="inlineStr">
        <is>
          <t>JV</t>
        </is>
      </c>
      <c r="D17" t="inlineStr">
        <is>
          <t>JV</t>
        </is>
      </c>
      <c r="E17" s="5" t="n">
        <v>394</v>
      </c>
    </row>
    <row r="18">
      <c r="A18" t="inlineStr">
        <is>
          <t>VH2</t>
        </is>
      </c>
      <c r="D18" t="inlineStr">
        <is>
          <t>VH2</t>
        </is>
      </c>
      <c r="E18" s="5" t="n">
        <v>6.5</v>
      </c>
    </row>
    <row r="19">
      <c r="A19" t="inlineStr">
        <is>
          <t>VH</t>
        </is>
      </c>
      <c r="D19" t="inlineStr">
        <is>
          <t>VH</t>
        </is>
      </c>
      <c r="E19" s="5" t="n">
        <v>75.5</v>
      </c>
    </row>
    <row r="20">
      <c r="A20" t="inlineStr">
        <is>
          <t>CLG</t>
        </is>
      </c>
      <c r="B20" s="35">
        <f>SUM(B16:B19)</f>
        <v/>
      </c>
      <c r="D20" t="inlineStr">
        <is>
          <t>CLG</t>
        </is>
      </c>
      <c r="E20" s="35">
        <f>SUM(E16:E19)</f>
        <v/>
      </c>
    </row>
    <row r="22">
      <c r="A22" t="inlineStr">
        <is>
          <t>Re-Inspection</t>
        </is>
      </c>
      <c r="B22" t="inlineStr">
        <is>
          <t>Quantity (prs)</t>
        </is>
      </c>
      <c r="D22" t="inlineStr">
        <is>
          <t>Re-Inspection</t>
        </is>
      </c>
      <c r="E22" t="inlineStr">
        <is>
          <t>Work time (hrs)</t>
        </is>
      </c>
    </row>
    <row r="23">
      <c r="A23" t="inlineStr">
        <is>
          <t>JVB</t>
        </is>
      </c>
      <c r="B23" s="32" t="n">
        <v>38959</v>
      </c>
      <c r="D23" t="inlineStr">
        <is>
          <t>JVB</t>
        </is>
      </c>
      <c r="E23" s="32" t="n">
        <v>56.5</v>
      </c>
      <c r="F23" s="32" t="n"/>
    </row>
    <row r="24">
      <c r="A24" t="inlineStr">
        <is>
          <t>JV2</t>
        </is>
      </c>
      <c r="B24" s="32" t="n">
        <v>45571</v>
      </c>
      <c r="D24" t="inlineStr">
        <is>
          <t>JV2</t>
        </is>
      </c>
      <c r="E24" s="32" t="n">
        <v>526</v>
      </c>
    </row>
    <row r="25">
      <c r="A25" t="inlineStr">
        <is>
          <t>JV</t>
        </is>
      </c>
      <c r="B25" s="32" t="n">
        <v>13814</v>
      </c>
      <c r="D25" t="inlineStr">
        <is>
          <t>JV</t>
        </is>
      </c>
      <c r="E25" s="32" t="n">
        <v>95.8</v>
      </c>
    </row>
    <row r="26">
      <c r="A26" t="inlineStr">
        <is>
          <t>VH3</t>
        </is>
      </c>
      <c r="B26" s="32" t="n">
        <v>13872</v>
      </c>
      <c r="D26" t="inlineStr">
        <is>
          <t>VH3</t>
        </is>
      </c>
      <c r="E26" s="5" t="n">
        <v>38.1</v>
      </c>
      <c r="H26" t="inlineStr">
        <is>
          <t>"</t>
        </is>
      </c>
    </row>
    <row r="27">
      <c r="A27" t="inlineStr">
        <is>
          <t>VH2</t>
        </is>
      </c>
      <c r="B27" s="32" t="n">
        <v>7801</v>
      </c>
      <c r="D27" t="inlineStr">
        <is>
          <t>VH2</t>
        </is>
      </c>
      <c r="E27" s="5" t="n">
        <v>91.2</v>
      </c>
    </row>
    <row r="28">
      <c r="A28" t="inlineStr">
        <is>
          <t>VH</t>
        </is>
      </c>
      <c r="B28" s="32" t="n">
        <v>39210</v>
      </c>
      <c r="D28" t="inlineStr">
        <is>
          <t>VH</t>
        </is>
      </c>
      <c r="E28" s="5" t="n">
        <v>123.2000000000001</v>
      </c>
    </row>
    <row r="29">
      <c r="A29" t="inlineStr">
        <is>
          <t>CLG</t>
        </is>
      </c>
      <c r="B29" s="33">
        <f>SUM(B23:B28)</f>
        <v/>
      </c>
      <c r="D29" t="inlineStr">
        <is>
          <t>CLG</t>
        </is>
      </c>
      <c r="E29" s="36">
        <f>SUM(E23:E28)</f>
        <v/>
      </c>
    </row>
    <row r="31">
      <c r="A31" t="inlineStr">
        <is>
          <t>Touch-up</t>
        </is>
      </c>
      <c r="B31" t="inlineStr">
        <is>
          <t>Quantity (prs)</t>
        </is>
      </c>
      <c r="D31" t="inlineStr">
        <is>
          <t>Touch-up</t>
        </is>
      </c>
      <c r="E31" t="inlineStr">
        <is>
          <t>Work time (hrs)</t>
        </is>
      </c>
    </row>
    <row r="32">
      <c r="A32" t="inlineStr">
        <is>
          <t>JVB</t>
        </is>
      </c>
      <c r="B32" s="32" t="n"/>
      <c r="D32" t="inlineStr">
        <is>
          <t>JVB</t>
        </is>
      </c>
    </row>
    <row r="33">
      <c r="A33" t="inlineStr">
        <is>
          <t>JV</t>
        </is>
      </c>
      <c r="B33" s="32" t="n">
        <v>9740</v>
      </c>
      <c r="D33" t="inlineStr">
        <is>
          <t>JV</t>
        </is>
      </c>
      <c r="E33" t="n">
        <v>129</v>
      </c>
    </row>
    <row r="34">
      <c r="A34" t="inlineStr">
        <is>
          <t>VH4</t>
        </is>
      </c>
      <c r="B34" s="32" t="n">
        <v>25794</v>
      </c>
      <c r="D34" t="inlineStr">
        <is>
          <t>VH4</t>
        </is>
      </c>
      <c r="E34" t="n">
        <v>498.7</v>
      </c>
    </row>
    <row r="35">
      <c r="A35" t="inlineStr">
        <is>
          <t>VH2</t>
        </is>
      </c>
      <c r="B35" s="32" t="n">
        <v>16934</v>
      </c>
      <c r="D35" t="inlineStr">
        <is>
          <t>VH2</t>
        </is>
      </c>
      <c r="E35" t="n">
        <v>191.5</v>
      </c>
    </row>
    <row r="36">
      <c r="A36" t="inlineStr">
        <is>
          <t>VH</t>
        </is>
      </c>
      <c r="B36" s="32" t="n">
        <v>69184</v>
      </c>
      <c r="D36" t="inlineStr">
        <is>
          <t>VH</t>
        </is>
      </c>
      <c r="E36" s="36" t="n">
        <v>368</v>
      </c>
    </row>
    <row r="37">
      <c r="A37" t="inlineStr">
        <is>
          <t>CLG</t>
        </is>
      </c>
      <c r="B37" s="33">
        <f>SUM(B32:B36)</f>
        <v/>
      </c>
      <c r="D37" t="inlineStr">
        <is>
          <t>CLG</t>
        </is>
      </c>
      <c r="E37">
        <f>SUM(E32:E36)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Phihung Tran</dc:creator>
  <dcterms:created xmlns:dcterms="http://purl.org/dc/terms/" xmlns:xsi="http://www.w3.org/2001/XMLSchema-instance" xsi:type="dcterms:W3CDTF">2024-07-02T07:33:00Z</dcterms:created>
  <dcterms:modified xmlns:dcterms="http://purl.org/dc/terms/" xmlns:xsi="http://www.w3.org/2001/XMLSchema-instance" xsi:type="dcterms:W3CDTF">2026-10-06T04:31:17Z</dcterms:modified>
  <cp:lastModifiedBy>thinhphat.nguyen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F35934FC2FA34C97951E2AC36755FADF</vt:lpwstr>
  </property>
  <property name="KSOProductBuildVer" fmtid="{D5CDD505-2E9C-101B-9397-08002B2CF9AE}" pid="3">
    <vt:lpwstr xmlns:vt="http://schemas.openxmlformats.org/officeDocument/2006/docPropsVTypes">1033-11.2.0.11440</vt:lpwstr>
  </property>
</Properties>
</file>