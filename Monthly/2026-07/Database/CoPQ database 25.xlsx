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490" firstSheet="18" activeTab="27"/>
  </bookViews>
  <sheets>
    <sheet name="Current" sheetId="1" r:id="rId1"/>
    <sheet name="Jun-24" sheetId="2" r:id="rId2"/>
    <sheet name="Jul-24" sheetId="3" r:id="rId3"/>
    <sheet name="Aug-24" sheetId="4" r:id="rId4"/>
    <sheet name="Sep-24" sheetId="5" r:id="rId5"/>
    <sheet name="Oct-24" sheetId="6" r:id="rId6"/>
    <sheet name="Nov-24" sheetId="7" r:id="rId7"/>
    <sheet name="Dec-24" sheetId="8" r:id="rId8"/>
    <sheet name="Jan-25" sheetId="9" r:id="rId9"/>
    <sheet name="Feb-25" sheetId="10" r:id="rId10"/>
    <sheet name="Mar-25" sheetId="11" r:id="rId11"/>
    <sheet name="Apr-25" sheetId="12" r:id="rId12"/>
    <sheet name="May-25" sheetId="13" r:id="rId13"/>
    <sheet name="Jun-25" sheetId="14" r:id="rId14"/>
    <sheet name="Jul-25" sheetId="15" r:id="rId15"/>
    <sheet name="Aug-25" sheetId="16" r:id="rId16"/>
    <sheet name="Sep-25" sheetId="17" r:id="rId17"/>
    <sheet name="Oct-25" sheetId="18" r:id="rId18"/>
    <sheet name="Nov-25" sheetId="19" r:id="rId19"/>
    <sheet name="Dec-25" sheetId="20" r:id="rId20"/>
    <sheet name="Jan-26" sheetId="21" r:id="rId21"/>
    <sheet name="Feb-26" sheetId="22" r:id="rId22"/>
    <sheet name="Mar-26" sheetId="23" r:id="rId23"/>
    <sheet name="Apr-26" sheetId="24" r:id="rId24"/>
    <sheet name="May-2026" sheetId="25" r:id="rId25"/>
    <sheet name="Jun-2026" sheetId="26" r:id="rId26"/>
    <sheet name="July-2026" sheetId="27" r:id="rId27"/>
    <sheet name="Aug-26" sheetId="28" r:id="rId28"/>
  </sheets>
  <calcPr calcId="144525"/>
</workbook>
</file>

<file path=xl/sharedStrings.xml><?xml version="1.0" encoding="utf-8"?>
<sst xmlns="http://schemas.openxmlformats.org/spreadsheetml/2006/main" count="2069" uniqueCount="32">
  <si>
    <t>COPQ Overview (Based on Jun 2024)</t>
  </si>
  <si>
    <t>Factory</t>
  </si>
  <si>
    <t>Touch up paint</t>
  </si>
  <si>
    <t>Re-inspection</t>
  </si>
  <si>
    <t>B/C Grade</t>
  </si>
  <si>
    <t>Rework</t>
  </si>
  <si>
    <t>Total cost ($)</t>
  </si>
  <si>
    <t>Reinspection+Bottom touch up paint</t>
  </si>
  <si>
    <t>VH</t>
  </si>
  <si>
    <t>VN</t>
  </si>
  <si>
    <t>Indo</t>
  </si>
  <si>
    <t>VH2</t>
  </si>
  <si>
    <t>VH3</t>
  </si>
  <si>
    <t>VH4</t>
  </si>
  <si>
    <t>JV</t>
  </si>
  <si>
    <t>JV2</t>
  </si>
  <si>
    <t>CLG</t>
  </si>
  <si>
    <t>JVB</t>
  </si>
  <si>
    <t>Number of lines</t>
  </si>
  <si>
    <t>BC Grade</t>
  </si>
  <si>
    <t>Quantity (prs)</t>
  </si>
  <si>
    <t>Re-Inspection</t>
  </si>
  <si>
    <t>Work time (hrs)</t>
  </si>
  <si>
    <t>"</t>
  </si>
  <si>
    <t>Touch-up</t>
  </si>
  <si>
    <t>$</t>
  </si>
  <si>
    <t>Defective Q'ty (prs)</t>
  </si>
  <si>
    <t>Manpower</t>
  </si>
  <si>
    <t>(k tính E5)</t>
  </si>
  <si>
    <t>Hour</t>
  </si>
  <si>
    <t>Pairs</t>
  </si>
  <si>
    <t>COPQ Overview (Based on Jul 2026)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</si>
</sst>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76" formatCode="_ * #,##0_ ;_ * \-#,##0_ ;_ * &quot;-&quot;_ ;_ @_ "/>
    <numFmt numFmtId="177" formatCode="&quot;$&quot;#,##0.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8" formatCode="&quot;$&quot;#,##0.00_);[Red]\(&quot;$&quot;#,##0.00\)"/>
    <numFmt numFmtId="178" formatCode="#,##0.0"/>
    <numFmt numFmtId="179" formatCode="_(* #,##0_);_(* \(#,##0\);_(* &quot;-&quot;??_);_(@_)"/>
    <numFmt numFmtId="180" formatCode="_(* #,##0.0_);_(* \(#,##0.0\);_(* &quot;-&quot;??.0_);_(@_)"/>
  </numFmts>
  <fonts count="24">
    <font>
      <sz val="12"/>
      <color theme="1"/>
      <name val="新細明體"/>
      <charset val="134"/>
    </font>
    <font>
      <sz val="8"/>
      <color theme="1"/>
      <name val="新細明體"/>
      <charset val="134"/>
    </font>
    <font>
      <b/>
      <sz val="12"/>
      <color theme="1"/>
      <name val="新細明體"/>
      <charset val="134"/>
    </font>
    <font>
      <sz val="12"/>
      <name val="新細明體"/>
      <charset val="134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10" borderId="0">
      <alignment vertical="center"/>
    </xf>
    <xf numFmtId="43" fontId="0" fillId="0" borderId="0"/>
    <xf numFmtId="176" fontId="4" fillId="0" borderId="0">
      <alignment vertical="center"/>
    </xf>
    <xf numFmtId="42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2" fillId="14" borderId="2">
      <alignment vertical="center"/>
    </xf>
    <xf numFmtId="0" fontId="13" fillId="0" borderId="3">
      <alignment vertical="center"/>
    </xf>
    <xf numFmtId="0" fontId="4" fillId="15" borderId="4">
      <alignment vertical="center"/>
    </xf>
    <xf numFmtId="0" fontId="8" fillId="18" borderId="0">
      <alignment vertical="center"/>
    </xf>
    <xf numFmtId="0" fontId="14" fillId="0" borderId="0">
      <alignment vertical="center"/>
    </xf>
    <xf numFmtId="0" fontId="8" fillId="17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6" fillId="4" borderId="1">
      <alignment vertical="center"/>
    </xf>
    <xf numFmtId="0" fontId="7" fillId="23" borderId="0">
      <alignment vertical="center"/>
    </xf>
    <xf numFmtId="0" fontId="5" fillId="3" borderId="0">
      <alignment vertical="center"/>
    </xf>
    <xf numFmtId="0" fontId="20" fillId="19" borderId="7">
      <alignment vertical="center"/>
    </xf>
    <xf numFmtId="0" fontId="8" fillId="16" borderId="0">
      <alignment vertical="center"/>
    </xf>
    <xf numFmtId="0" fontId="21" fillId="19" borderId="1">
      <alignment vertical="center"/>
    </xf>
    <xf numFmtId="0" fontId="15" fillId="0" borderId="5">
      <alignment vertical="center"/>
    </xf>
    <xf numFmtId="0" fontId="22" fillId="0" borderId="8">
      <alignment vertical="center"/>
    </xf>
    <xf numFmtId="0" fontId="23" fillId="25" borderId="0">
      <alignment vertical="center"/>
    </xf>
    <xf numFmtId="0" fontId="11" fillId="13" borderId="0">
      <alignment vertical="center"/>
    </xf>
    <xf numFmtId="0" fontId="7" fillId="24" borderId="0">
      <alignment vertical="center"/>
    </xf>
    <xf numFmtId="0" fontId="8" fillId="12" borderId="0">
      <alignment vertical="center"/>
    </xf>
    <xf numFmtId="0" fontId="7" fillId="26" borderId="0">
      <alignment vertical="center"/>
    </xf>
    <xf numFmtId="0" fontId="7" fillId="28" borderId="0">
      <alignment vertical="center"/>
    </xf>
    <xf numFmtId="0" fontId="8" fillId="27" borderId="0">
      <alignment vertical="center"/>
    </xf>
    <xf numFmtId="0" fontId="8" fillId="22" borderId="0">
      <alignment vertical="center"/>
    </xf>
    <xf numFmtId="0" fontId="7" fillId="30" borderId="0">
      <alignment vertical="center"/>
    </xf>
    <xf numFmtId="0" fontId="7" fillId="21" borderId="0">
      <alignment vertical="center"/>
    </xf>
    <xf numFmtId="0" fontId="8" fillId="33" borderId="0">
      <alignment vertical="center"/>
    </xf>
    <xf numFmtId="0" fontId="7" fillId="29" borderId="0">
      <alignment vertical="center"/>
    </xf>
    <xf numFmtId="0" fontId="8" fillId="6" borderId="0">
      <alignment vertical="center"/>
    </xf>
    <xf numFmtId="0" fontId="8" fillId="32" borderId="0">
      <alignment vertical="center"/>
    </xf>
    <xf numFmtId="0" fontId="7" fillId="8" borderId="0">
      <alignment vertical="center"/>
    </xf>
    <xf numFmtId="0" fontId="8" fillId="7" borderId="0">
      <alignment vertical="center"/>
    </xf>
    <xf numFmtId="0" fontId="7" fillId="20" borderId="0">
      <alignment vertical="center"/>
    </xf>
    <xf numFmtId="0" fontId="7" fillId="5" borderId="0">
      <alignment vertical="center"/>
    </xf>
    <xf numFmtId="0" fontId="8" fillId="31" borderId="0">
      <alignment vertical="center"/>
    </xf>
    <xf numFmtId="0" fontId="7" fillId="11" borderId="0">
      <alignment vertical="center"/>
    </xf>
  </cellStyleXfs>
  <cellXfs count="2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8" fontId="0" fillId="0" borderId="0" xfId="0" applyNumberFormat="1" applyAlignment="1">
      <alignment wrapText="1"/>
    </xf>
    <xf numFmtId="0" fontId="0" fillId="0" borderId="0" xfId="0" applyAlignment="1">
      <alignment wrapText="1"/>
    </xf>
    <xf numFmtId="177" fontId="0" fillId="2" borderId="0" xfId="2" applyNumberFormat="1" applyFill="1" applyProtection="1">
      <protection locked="0"/>
    </xf>
    <xf numFmtId="177" fontId="0" fillId="0" borderId="0" xfId="2" applyNumberFormat="1" applyProtection="1">
      <protection locked="0"/>
    </xf>
    <xf numFmtId="177" fontId="2" fillId="0" borderId="0" xfId="2" applyNumberFormat="1" applyFont="1" applyProtection="1">
      <protection locked="0"/>
    </xf>
    <xf numFmtId="178" fontId="0" fillId="0" borderId="0" xfId="0" applyNumberFormat="1"/>
    <xf numFmtId="179" fontId="0" fillId="0" borderId="0" xfId="2" applyNumberFormat="1"/>
    <xf numFmtId="179" fontId="0" fillId="0" borderId="0" xfId="0" applyNumberFormat="1"/>
    <xf numFmtId="180" fontId="0" fillId="0" borderId="0" xfId="2" applyNumberFormat="1"/>
    <xf numFmtId="177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43" fontId="0" fillId="0" borderId="0" xfId="2" applyProtection="1">
      <protection locked="0"/>
    </xf>
    <xf numFmtId="177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77" fontId="0" fillId="0" borderId="0" xfId="2" applyNumberFormat="1"/>
    <xf numFmtId="177" fontId="0" fillId="2" borderId="0" xfId="2" applyNumberFormat="1" applyFill="1"/>
    <xf numFmtId="0" fontId="3" fillId="0" borderId="0" xfId="0" applyFont="1"/>
    <xf numFmtId="43" fontId="0" fillId="0" borderId="0" xfId="2"/>
    <xf numFmtId="3" fontId="0" fillId="0" borderId="0" xfId="0" applyNumberFormat="1"/>
    <xf numFmtId="4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PageLayoutView="74" workbookViewId="0">
      <selection activeCell="E32" sqref="E32:E36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1.725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4">
        <v>6737.57999999999</v>
      </c>
      <c r="C3" s="4">
        <v>1624.04</v>
      </c>
      <c r="D3" s="4">
        <v>1750.99</v>
      </c>
      <c r="E3" s="5"/>
      <c r="F3" s="4">
        <v>6892.66</v>
      </c>
      <c r="G3" s="6">
        <f>B3+C3</f>
        <v>8361.62</v>
      </c>
      <c r="H3" s="1"/>
      <c r="I3" s="1" t="s">
        <v>9</v>
      </c>
      <c r="J3" s="13">
        <f>F3+F4+F5+F6</f>
        <v>13961.6</v>
      </c>
      <c r="K3" s="14"/>
      <c r="L3" s="1" t="s">
        <v>10</v>
      </c>
      <c r="M3" s="13">
        <f>F7+F8+F9</f>
        <v>9141.99999999998</v>
      </c>
      <c r="N3" s="14"/>
    </row>
    <row r="4" spans="1:14">
      <c r="A4" s="1" t="s">
        <v>11</v>
      </c>
      <c r="B4" s="4">
        <v>2179.06</v>
      </c>
      <c r="C4" s="4">
        <v>447.06</v>
      </c>
      <c r="D4" s="4">
        <v>237.83</v>
      </c>
      <c r="E4" s="5"/>
      <c r="F4" s="4">
        <v>3368.27</v>
      </c>
      <c r="G4" s="6">
        <f>B4+C4</f>
        <v>2626.12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5"/>
      <c r="C5" s="4">
        <v>101.9</v>
      </c>
      <c r="D5" s="5"/>
      <c r="E5" s="5"/>
      <c r="F5" s="4">
        <v>91.92</v>
      </c>
      <c r="G5" s="6">
        <f>B6+C5</f>
        <v>3653.775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4">
        <v>3551.875</v>
      </c>
      <c r="C6" s="5"/>
      <c r="D6" s="5"/>
      <c r="E6" s="5"/>
      <c r="F6" s="4">
        <v>3608.75</v>
      </c>
      <c r="G6" s="6">
        <f>B6+C6</f>
        <v>3551.875</v>
      </c>
      <c r="H6" s="1"/>
      <c r="I6" s="1"/>
      <c r="J6" s="1" t="s">
        <v>9</v>
      </c>
      <c r="K6" s="13">
        <f>J3</f>
        <v>13961.6</v>
      </c>
      <c r="L6" s="1"/>
      <c r="M6" s="1"/>
      <c r="N6" s="1"/>
    </row>
    <row r="7" spans="1:14">
      <c r="A7" s="1" t="s">
        <v>14</v>
      </c>
      <c r="B7" s="7">
        <v>1298.72</v>
      </c>
      <c r="C7" s="7">
        <v>665.74</v>
      </c>
      <c r="D7" s="7">
        <v>4566.61</v>
      </c>
      <c r="E7" s="7"/>
      <c r="F7" s="7">
        <f>SUM(B7:E7)</f>
        <v>6531.07</v>
      </c>
      <c r="G7" s="6">
        <f>B7+C7</f>
        <v>1964.46</v>
      </c>
      <c r="H7" s="1"/>
      <c r="I7" s="1"/>
      <c r="J7" s="1" t="s">
        <v>10</v>
      </c>
      <c r="K7" s="13">
        <f>M3</f>
        <v>9141.99999999998</v>
      </c>
      <c r="L7" s="1"/>
      <c r="M7" s="1"/>
      <c r="N7" s="1"/>
    </row>
    <row r="8" spans="1:14">
      <c r="A8" s="1" t="s">
        <v>15</v>
      </c>
      <c r="B8" s="8"/>
      <c r="C8" s="7">
        <v>1595.57999999999</v>
      </c>
      <c r="D8" s="7">
        <v>522.27</v>
      </c>
      <c r="E8" s="7"/>
      <c r="F8" s="7">
        <f>SUM(B8:E8)</f>
        <v>2117.84999999999</v>
      </c>
      <c r="G8" s="6">
        <f>B8+C8</f>
        <v>1595.57999999999</v>
      </c>
      <c r="H8" s="1"/>
      <c r="I8" s="2"/>
      <c r="J8" s="1" t="s">
        <v>16</v>
      </c>
      <c r="K8" s="7">
        <f>K6+K7</f>
        <v>23103.6</v>
      </c>
      <c r="L8" s="1"/>
      <c r="M8" s="1"/>
      <c r="N8" s="1"/>
    </row>
    <row r="9" spans="1:14">
      <c r="A9" s="1" t="s">
        <v>17</v>
      </c>
      <c r="B9" s="8"/>
      <c r="C9" s="7">
        <v>493.08</v>
      </c>
      <c r="D9" s="7"/>
      <c r="E9" s="7"/>
      <c r="F9" s="7">
        <f>SUM(B9:E9)</f>
        <v>493.08</v>
      </c>
      <c r="G9" s="6">
        <f>B9+C9</f>
        <v>493.08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13767.235</v>
      </c>
      <c r="C10" s="7">
        <f>SUM(C3:C9)</f>
        <v>4927.39999999999</v>
      </c>
      <c r="D10" s="7">
        <f>SUM(D3:D9)</f>
        <v>7077.7</v>
      </c>
      <c r="E10" s="7">
        <f>SUM(E3:E9)</f>
        <v>0</v>
      </c>
      <c r="F10" s="7">
        <f>SUM(B10:E10)</f>
        <v>25772.335</v>
      </c>
      <c r="G10" s="6">
        <f>B10+C10</f>
        <v>18694.635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5">
        <v>31.5</v>
      </c>
    </row>
    <row r="17" spans="1:5">
      <c r="A17" t="s">
        <v>14</v>
      </c>
      <c r="D17" t="s">
        <v>14</v>
      </c>
      <c r="E17" s="5">
        <v>279</v>
      </c>
    </row>
    <row r="18" spans="1:5">
      <c r="A18" t="s">
        <v>11</v>
      </c>
      <c r="D18" t="s">
        <v>11</v>
      </c>
      <c r="E18" s="5">
        <v>11</v>
      </c>
    </row>
    <row r="19" spans="1:5">
      <c r="A19" t="s">
        <v>8</v>
      </c>
      <c r="D19" t="s">
        <v>8</v>
      </c>
      <c r="E19" s="5">
        <v>84.5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406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39553</v>
      </c>
      <c r="D23" t="s">
        <v>17</v>
      </c>
      <c r="E23" s="10">
        <v>55.5</v>
      </c>
      <c r="F23" s="10"/>
    </row>
    <row r="24" spans="1:5">
      <c r="A24" t="s">
        <v>15</v>
      </c>
      <c r="B24" s="10">
        <v>44113</v>
      </c>
      <c r="D24" t="s">
        <v>15</v>
      </c>
      <c r="E24" s="10">
        <v>455</v>
      </c>
    </row>
    <row r="25" spans="1:5">
      <c r="A25" t="s">
        <v>14</v>
      </c>
      <c r="B25" s="10">
        <v>15701</v>
      </c>
      <c r="D25" t="s">
        <v>14</v>
      </c>
      <c r="E25" s="10">
        <v>112.1</v>
      </c>
    </row>
    <row r="26" spans="1:8">
      <c r="A26" t="s">
        <v>12</v>
      </c>
      <c r="B26" s="10">
        <v>8108</v>
      </c>
      <c r="D26" t="s">
        <v>12</v>
      </c>
      <c r="E26" s="5">
        <v>32.2</v>
      </c>
      <c r="H26" t="s">
        <v>23</v>
      </c>
    </row>
    <row r="27" spans="1:5">
      <c r="A27" t="s">
        <v>11</v>
      </c>
      <c r="B27" s="10">
        <v>11534</v>
      </c>
      <c r="D27" t="s">
        <v>11</v>
      </c>
      <c r="E27" s="5">
        <v>109.2</v>
      </c>
    </row>
    <row r="28" spans="1:5">
      <c r="A28" t="s">
        <v>8</v>
      </c>
      <c r="B28" s="10">
        <v>62242</v>
      </c>
      <c r="D28" t="s">
        <v>8</v>
      </c>
      <c r="E28" s="5">
        <v>214.200000000001</v>
      </c>
    </row>
    <row r="29" spans="1:5">
      <c r="A29" t="s">
        <v>16</v>
      </c>
      <c r="B29" s="11">
        <f>SUM(B23:B28)</f>
        <v>181251</v>
      </c>
      <c r="D29" t="s">
        <v>16</v>
      </c>
      <c r="E29" s="12">
        <f>SUM(E23:E28)</f>
        <v>978.200000000001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14796</v>
      </c>
      <c r="D33" t="s">
        <v>14</v>
      </c>
      <c r="E33">
        <v>128</v>
      </c>
    </row>
    <row r="34" spans="1:5">
      <c r="A34" t="s">
        <v>13</v>
      </c>
      <c r="B34" s="10">
        <v>36945</v>
      </c>
      <c r="D34" t="s">
        <v>13</v>
      </c>
      <c r="E34">
        <v>568.3</v>
      </c>
    </row>
    <row r="35" spans="1:5">
      <c r="A35" t="s">
        <v>11</v>
      </c>
      <c r="B35" s="10">
        <v>17932</v>
      </c>
      <c r="D35" t="s">
        <v>11</v>
      </c>
      <c r="E35">
        <v>204.5</v>
      </c>
    </row>
    <row r="36" spans="1:5">
      <c r="A36" t="s">
        <v>8</v>
      </c>
      <c r="B36" s="10">
        <v>120824</v>
      </c>
      <c r="D36" t="s">
        <v>8</v>
      </c>
      <c r="E36" s="12">
        <v>455</v>
      </c>
    </row>
    <row r="37" spans="1:5">
      <c r="A37" t="s">
        <v>16</v>
      </c>
      <c r="B37" s="11">
        <f>SUM(B32:B36)</f>
        <v>190497</v>
      </c>
      <c r="D37" t="s">
        <v>16</v>
      </c>
      <c r="E37">
        <f>SUM(E32:E36)</f>
        <v>1355.8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workbookViewId="0">
      <selection activeCell="E15" sqref="E15"/>
    </sheetView>
  </sheetViews>
  <sheetFormatPr defaultColWidth="9" defaultRowHeight="14.25"/>
  <cols>
    <col min="1" max="1" width="12.1833333333333" customWidth="1"/>
    <col min="2" max="2" width="13.2666666666667" customWidth="1"/>
    <col min="3" max="5" width="12.1833333333333" customWidth="1"/>
    <col min="9" max="9" width="10.1833333333333" customWidth="1"/>
    <col min="10" max="10" width="10.0916666666667" customWidth="1"/>
    <col min="11" max="11" width="9.81666666666667" customWidth="1"/>
    <col min="12" max="12" width="8.90833333333333" customWidth="1"/>
  </cols>
  <sheetData>
    <row r="1" spans="1:1">
      <c r="A1" t="s">
        <v>0</v>
      </c>
    </row>
    <row r="2" spans="1:12">
      <c r="A2" t="s">
        <v>1</v>
      </c>
      <c r="B2" s="17" t="s">
        <v>3</v>
      </c>
      <c r="C2" s="17" t="s">
        <v>4</v>
      </c>
      <c r="D2" s="17" t="s">
        <v>5</v>
      </c>
      <c r="E2" t="s">
        <v>6</v>
      </c>
      <c r="H2" t="s">
        <v>1</v>
      </c>
      <c r="I2" t="s">
        <v>6</v>
      </c>
      <c r="K2" t="s">
        <v>1</v>
      </c>
      <c r="L2" t="s">
        <v>6</v>
      </c>
    </row>
    <row r="3" spans="1:13">
      <c r="A3" t="s">
        <v>8</v>
      </c>
      <c r="B3" s="22">
        <v>1145.67</v>
      </c>
      <c r="C3" s="22">
        <v>1587.59</v>
      </c>
      <c r="D3" s="22">
        <v>20812</v>
      </c>
      <c r="E3" s="22">
        <f>SUM(B3:D3)</f>
        <v>23545.26</v>
      </c>
      <c r="H3" t="s">
        <v>9</v>
      </c>
      <c r="I3" s="24">
        <v>36624.51</v>
      </c>
      <c r="J3" s="21" t="s">
        <v>25</v>
      </c>
      <c r="K3" t="s">
        <v>10</v>
      </c>
      <c r="L3" s="24">
        <v>51307.24</v>
      </c>
      <c r="M3" s="21" t="s">
        <v>25</v>
      </c>
    </row>
    <row r="4" spans="1:10">
      <c r="A4" t="s">
        <v>11</v>
      </c>
      <c r="B4" s="22">
        <v>1539.31</v>
      </c>
      <c r="C4" s="22">
        <v>949.94</v>
      </c>
      <c r="D4" s="22">
        <v>10590</v>
      </c>
      <c r="E4" s="22">
        <f>SUM(B4:D4)</f>
        <v>13079.25</v>
      </c>
      <c r="J4" s="21" t="s">
        <v>25</v>
      </c>
    </row>
    <row r="5" spans="1:10">
      <c r="A5" t="s">
        <v>14</v>
      </c>
      <c r="B5" s="22">
        <v>582.24</v>
      </c>
      <c r="C5" s="22">
        <v>14448.25</v>
      </c>
      <c r="D5" s="22">
        <v>20941</v>
      </c>
      <c r="E5" s="22">
        <f>SUM(B5:D5)</f>
        <v>35971.49</v>
      </c>
      <c r="J5" s="21" t="s">
        <v>25</v>
      </c>
    </row>
    <row r="6" spans="1:5">
      <c r="A6" t="s">
        <v>15</v>
      </c>
      <c r="B6" s="22">
        <v>109.62</v>
      </c>
      <c r="C6" s="22">
        <v>2077.13</v>
      </c>
      <c r="D6" s="22">
        <v>13149</v>
      </c>
      <c r="E6" s="22">
        <f>SUM(B6:D6)</f>
        <v>15335.75</v>
      </c>
    </row>
    <row r="7" spans="1:5">
      <c r="A7" t="s">
        <v>16</v>
      </c>
      <c r="B7" s="22">
        <f>SUM(B3:B6)</f>
        <v>3376.84</v>
      </c>
      <c r="C7" s="22">
        <f>SUM(C3:C6)</f>
        <v>19062.91</v>
      </c>
      <c r="D7" s="22">
        <f>SUM(D3:D6)</f>
        <v>65492</v>
      </c>
      <c r="E7" s="22">
        <f>SUM(E3:E6)</f>
        <v>87931.75</v>
      </c>
    </row>
    <row r="8" spans="8:10">
      <c r="H8" s="17"/>
      <c r="I8" s="22"/>
      <c r="J8" s="22"/>
    </row>
    <row r="9" spans="7:10">
      <c r="G9" t="s">
        <v>19</v>
      </c>
      <c r="H9" t="s">
        <v>20</v>
      </c>
      <c r="I9" s="22"/>
      <c r="J9" s="22"/>
    </row>
    <row r="10" spans="7:10">
      <c r="G10" t="s">
        <v>15</v>
      </c>
      <c r="H10">
        <f>11+53.5+36</f>
        <v>100.5</v>
      </c>
      <c r="I10" s="22"/>
      <c r="J10" s="22"/>
    </row>
    <row r="11" spans="1:8">
      <c r="A11" t="s">
        <v>5</v>
      </c>
      <c r="B11" t="s">
        <v>18</v>
      </c>
      <c r="G11" t="s">
        <v>14</v>
      </c>
      <c r="H11">
        <f>256.5+103+359</f>
        <v>718.5</v>
      </c>
    </row>
    <row r="12" spans="1:8">
      <c r="A12" t="s">
        <v>15</v>
      </c>
      <c r="B12">
        <v>27</v>
      </c>
      <c r="G12" t="s">
        <v>11</v>
      </c>
      <c r="H12">
        <f>33.5+7.5+5+6</f>
        <v>52</v>
      </c>
    </row>
    <row r="13" spans="1:8">
      <c r="A13" t="s">
        <v>14</v>
      </c>
      <c r="B13">
        <v>43</v>
      </c>
      <c r="G13" t="s">
        <v>8</v>
      </c>
      <c r="H13">
        <f>21+6+20+23+9</f>
        <v>79</v>
      </c>
    </row>
    <row r="14" spans="1:8">
      <c r="A14" t="s">
        <v>11</v>
      </c>
      <c r="B14">
        <v>30</v>
      </c>
      <c r="G14" t="s">
        <v>16</v>
      </c>
      <c r="H14">
        <f>SUM(H10:H13)</f>
        <v>950</v>
      </c>
    </row>
    <row r="15" spans="1:2">
      <c r="A15" t="s">
        <v>8</v>
      </c>
      <c r="B15">
        <v>43</v>
      </c>
    </row>
    <row r="16" spans="1:2">
      <c r="A16" t="s">
        <v>16</v>
      </c>
      <c r="B16">
        <f>SUM(B12:B15)</f>
        <v>143</v>
      </c>
    </row>
    <row r="18" spans="1:2">
      <c r="A18" t="s">
        <v>21</v>
      </c>
      <c r="B18" t="s">
        <v>26</v>
      </c>
    </row>
    <row r="19" spans="1:2">
      <c r="A19" t="s">
        <v>15</v>
      </c>
      <c r="B19">
        <v>1648</v>
      </c>
    </row>
    <row r="20" spans="1:2">
      <c r="A20" t="s">
        <v>14</v>
      </c>
      <c r="B20">
        <v>14229</v>
      </c>
    </row>
    <row r="21" spans="1:2">
      <c r="A21" t="s">
        <v>11</v>
      </c>
      <c r="B21">
        <v>56083</v>
      </c>
    </row>
    <row r="22" spans="1:2">
      <c r="A22" t="s">
        <v>8</v>
      </c>
      <c r="B22">
        <v>50424</v>
      </c>
    </row>
    <row r="23" spans="1:2">
      <c r="A23" t="s">
        <v>16</v>
      </c>
      <c r="B23">
        <f>SUM(B19:B22)</f>
        <v>122384</v>
      </c>
    </row>
    <row r="26" spans="1:2">
      <c r="A26" t="s">
        <v>21</v>
      </c>
      <c r="B26" t="s">
        <v>27</v>
      </c>
    </row>
    <row r="27" spans="1:2">
      <c r="A27" t="s">
        <v>15</v>
      </c>
      <c r="B27">
        <v>48</v>
      </c>
    </row>
    <row r="28" spans="1:2">
      <c r="A28" t="s">
        <v>14</v>
      </c>
      <c r="B28">
        <v>245</v>
      </c>
    </row>
    <row r="29" spans="1:2">
      <c r="A29" t="s">
        <v>11</v>
      </c>
      <c r="B29">
        <v>282</v>
      </c>
    </row>
    <row r="30" spans="1:2">
      <c r="A30" t="s">
        <v>8</v>
      </c>
      <c r="B30">
        <v>938</v>
      </c>
    </row>
    <row r="31" spans="1:2">
      <c r="A31" t="s">
        <v>16</v>
      </c>
      <c r="B31">
        <f>SUM(B27:B30)</f>
        <v>1513</v>
      </c>
    </row>
    <row r="34" spans="1:2">
      <c r="A34" t="s">
        <v>21</v>
      </c>
      <c r="B34" t="s">
        <v>22</v>
      </c>
    </row>
    <row r="35" spans="1:2">
      <c r="A35" t="s">
        <v>15</v>
      </c>
      <c r="B35">
        <v>27</v>
      </c>
    </row>
    <row r="36" spans="1:2">
      <c r="A36" t="s">
        <v>14</v>
      </c>
      <c r="B36">
        <v>92.7</v>
      </c>
    </row>
    <row r="37" spans="1:2">
      <c r="A37" t="s">
        <v>11</v>
      </c>
      <c r="B37">
        <v>282.1</v>
      </c>
    </row>
    <row r="38" spans="1:2">
      <c r="A38" t="s">
        <v>8</v>
      </c>
      <c r="B38">
        <v>149.6</v>
      </c>
    </row>
    <row r="39" spans="1:2">
      <c r="A39" t="s">
        <v>16</v>
      </c>
      <c r="B39">
        <f>SUM(B35:B38)</f>
        <v>551.4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opLeftCell="A18" workbookViewId="0">
      <selection activeCell="J21" sqref="J21"/>
    </sheetView>
  </sheetViews>
  <sheetFormatPr defaultColWidth="9" defaultRowHeight="14.25"/>
  <cols>
    <col min="1" max="1" width="12.1833333333333" customWidth="1"/>
    <col min="2" max="2" width="13.2666666666667" customWidth="1"/>
    <col min="3" max="5" width="12.1833333333333" customWidth="1"/>
    <col min="9" max="9" width="10.1833333333333" customWidth="1"/>
    <col min="10" max="10" width="10.0916666666667" customWidth="1"/>
    <col min="11" max="11" width="9.81666666666667" customWidth="1"/>
    <col min="12" max="12" width="9.90833333333333" customWidth="1"/>
  </cols>
  <sheetData>
    <row r="1" spans="1:1">
      <c r="A1" t="s">
        <v>0</v>
      </c>
    </row>
    <row r="2" spans="1:12">
      <c r="A2" t="s">
        <v>1</v>
      </c>
      <c r="B2" s="17" t="s">
        <v>3</v>
      </c>
      <c r="C2" s="17" t="s">
        <v>4</v>
      </c>
      <c r="D2" s="17" t="s">
        <v>5</v>
      </c>
      <c r="E2" t="s">
        <v>6</v>
      </c>
      <c r="H2" t="s">
        <v>1</v>
      </c>
      <c r="I2" t="s">
        <v>6</v>
      </c>
      <c r="K2" t="s">
        <v>1</v>
      </c>
      <c r="L2" t="s">
        <v>6</v>
      </c>
    </row>
    <row r="3" spans="1:13">
      <c r="A3" t="s">
        <v>8</v>
      </c>
      <c r="B3" s="19">
        <v>1474.9</v>
      </c>
      <c r="C3" s="19">
        <v>1948.69</v>
      </c>
      <c r="D3" s="19">
        <v>18392</v>
      </c>
      <c r="E3" s="19">
        <f t="shared" ref="E3:E10" si="0">SUM(B3:D3)</f>
        <v>21815.59</v>
      </c>
      <c r="H3" t="s">
        <v>9</v>
      </c>
      <c r="I3" s="16">
        <f>E3+E4+E5+E6</f>
        <v>35820.24</v>
      </c>
      <c r="J3" s="21"/>
      <c r="K3" t="s">
        <v>10</v>
      </c>
      <c r="L3" s="16">
        <f>E7+E8+E9</f>
        <v>81851.23</v>
      </c>
      <c r="M3" s="21"/>
    </row>
    <row r="4" spans="1:10">
      <c r="A4" t="s">
        <v>11</v>
      </c>
      <c r="B4" s="19">
        <v>1049.7</v>
      </c>
      <c r="C4" s="19">
        <v>1275.14</v>
      </c>
      <c r="D4" s="19">
        <v>11649</v>
      </c>
      <c r="E4" s="19">
        <f t="shared" si="0"/>
        <v>13973.84</v>
      </c>
      <c r="J4" s="21"/>
    </row>
    <row r="5" spans="1:10">
      <c r="A5" t="s">
        <v>12</v>
      </c>
      <c r="B5" s="19">
        <v>30.81</v>
      </c>
      <c r="C5" s="19"/>
      <c r="D5" s="19"/>
      <c r="E5" s="19">
        <f t="shared" si="0"/>
        <v>30.81</v>
      </c>
      <c r="J5" s="21"/>
    </row>
    <row r="6" spans="1:5">
      <c r="A6" t="s">
        <v>13</v>
      </c>
      <c r="B6" s="19"/>
      <c r="C6" s="19"/>
      <c r="D6" s="19"/>
      <c r="E6" s="19">
        <f t="shared" si="0"/>
        <v>0</v>
      </c>
    </row>
    <row r="7" spans="1:5">
      <c r="A7" t="s">
        <v>14</v>
      </c>
      <c r="B7" s="19">
        <v>580.62</v>
      </c>
      <c r="C7" s="19">
        <v>45154.98</v>
      </c>
      <c r="D7" s="19">
        <v>20812</v>
      </c>
      <c r="E7" s="19">
        <f t="shared" si="0"/>
        <v>66547.6</v>
      </c>
    </row>
    <row r="8" spans="1:10">
      <c r="A8" t="s">
        <v>15</v>
      </c>
      <c r="B8" s="19">
        <v>119.77</v>
      </c>
      <c r="C8" s="19">
        <v>1673.55</v>
      </c>
      <c r="D8" s="19">
        <v>13149</v>
      </c>
      <c r="E8" s="19">
        <f t="shared" si="0"/>
        <v>14942.32</v>
      </c>
      <c r="H8" s="17"/>
      <c r="I8" s="22"/>
      <c r="J8" s="22"/>
    </row>
    <row r="9" spans="1:10">
      <c r="A9" t="s">
        <v>17</v>
      </c>
      <c r="B9" s="19">
        <v>361.31</v>
      </c>
      <c r="C9" s="19"/>
      <c r="D9" s="19"/>
      <c r="E9" s="19">
        <f t="shared" si="0"/>
        <v>361.31</v>
      </c>
      <c r="I9" s="22"/>
      <c r="J9" s="22"/>
    </row>
    <row r="10" spans="1:10">
      <c r="A10" t="s">
        <v>16</v>
      </c>
      <c r="B10" s="19">
        <f>SUM(B3:B9)</f>
        <v>3617.11</v>
      </c>
      <c r="C10" s="19">
        <f>SUM(C3:C9)</f>
        <v>50052.36</v>
      </c>
      <c r="D10" s="19">
        <f>SUM(D3:D9)</f>
        <v>64002</v>
      </c>
      <c r="E10" s="19">
        <f t="shared" si="0"/>
        <v>117671.47</v>
      </c>
      <c r="I10" s="22"/>
      <c r="J10" s="22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B16">
        <v>27</v>
      </c>
      <c r="D16" t="s">
        <v>15</v>
      </c>
      <c r="E16">
        <v>84.5</v>
      </c>
    </row>
    <row r="17" spans="1:5">
      <c r="A17" t="s">
        <v>14</v>
      </c>
      <c r="B17">
        <v>43</v>
      </c>
      <c r="D17" t="s">
        <v>14</v>
      </c>
      <c r="E17">
        <v>2343</v>
      </c>
    </row>
    <row r="18" spans="1:5">
      <c r="A18" t="s">
        <v>11</v>
      </c>
      <c r="B18">
        <v>33</v>
      </c>
      <c r="D18" t="s">
        <v>11</v>
      </c>
      <c r="E18">
        <v>67</v>
      </c>
    </row>
    <row r="19" spans="1:5">
      <c r="A19" t="s">
        <v>8</v>
      </c>
      <c r="B19">
        <v>38</v>
      </c>
      <c r="C19" t="s">
        <v>28</v>
      </c>
      <c r="D19" t="s">
        <v>8</v>
      </c>
      <c r="E19">
        <v>89.5</v>
      </c>
    </row>
    <row r="20" spans="1:5">
      <c r="A20" t="s">
        <v>16</v>
      </c>
      <c r="B20">
        <f>SUM(B16:B19)</f>
        <v>141</v>
      </c>
      <c r="D20" t="s">
        <v>16</v>
      </c>
      <c r="E20">
        <f>SUM(E16:E19)</f>
        <v>2584</v>
      </c>
    </row>
    <row r="22" spans="1:2">
      <c r="A22" t="s">
        <v>21</v>
      </c>
      <c r="B22" t="s">
        <v>26</v>
      </c>
    </row>
    <row r="23" spans="1:2">
      <c r="A23" t="s">
        <v>17</v>
      </c>
      <c r="B23" s="10">
        <v>5429</v>
      </c>
    </row>
    <row r="24" spans="1:2">
      <c r="A24" t="s">
        <v>15</v>
      </c>
      <c r="B24" s="10">
        <v>3168</v>
      </c>
    </row>
    <row r="25" spans="1:2">
      <c r="A25" t="s">
        <v>14</v>
      </c>
      <c r="B25" s="10">
        <v>15244</v>
      </c>
    </row>
    <row r="26" spans="1:2">
      <c r="A26" t="s">
        <v>12</v>
      </c>
      <c r="B26" s="10">
        <v>930</v>
      </c>
    </row>
    <row r="27" spans="1:2">
      <c r="A27" t="s">
        <v>11</v>
      </c>
      <c r="B27" s="10">
        <v>45046</v>
      </c>
    </row>
    <row r="28" spans="1:2">
      <c r="A28" t="s">
        <v>8</v>
      </c>
      <c r="B28" s="10">
        <v>57350</v>
      </c>
    </row>
    <row r="29" spans="1:2">
      <c r="A29" t="s">
        <v>16</v>
      </c>
      <c r="B29" s="11">
        <f>SUM(B23:B28)</f>
        <v>127167</v>
      </c>
    </row>
    <row r="31" spans="1:2">
      <c r="A31" t="s">
        <v>21</v>
      </c>
      <c r="B31" t="s">
        <v>27</v>
      </c>
    </row>
    <row r="32" spans="1:2">
      <c r="A32" t="s">
        <v>17</v>
      </c>
      <c r="B32" s="10">
        <v>118</v>
      </c>
    </row>
    <row r="33" spans="1:2">
      <c r="A33" t="s">
        <v>15</v>
      </c>
      <c r="B33" s="10">
        <v>55</v>
      </c>
    </row>
    <row r="34" spans="1:2">
      <c r="A34" t="s">
        <v>14</v>
      </c>
      <c r="B34" s="10">
        <v>350</v>
      </c>
    </row>
    <row r="35" spans="1:2">
      <c r="A35" t="s">
        <v>12</v>
      </c>
      <c r="B35" s="10">
        <v>2</v>
      </c>
    </row>
    <row r="36" spans="1:2">
      <c r="A36" t="s">
        <v>11</v>
      </c>
      <c r="B36" s="10">
        <v>177</v>
      </c>
    </row>
    <row r="37" spans="1:2">
      <c r="A37" t="s">
        <v>8</v>
      </c>
      <c r="B37" s="10">
        <v>1027</v>
      </c>
    </row>
    <row r="38" spans="1:2">
      <c r="A38" t="s">
        <v>16</v>
      </c>
      <c r="B38" s="10">
        <f>SUM(B32:B37)</f>
        <v>1729</v>
      </c>
    </row>
    <row r="40" spans="1:2">
      <c r="A40" t="s">
        <v>21</v>
      </c>
      <c r="B40" t="s">
        <v>22</v>
      </c>
    </row>
    <row r="41" spans="1:2">
      <c r="A41" t="s">
        <v>17</v>
      </c>
      <c r="B41">
        <v>75.5</v>
      </c>
    </row>
    <row r="42" spans="1:2">
      <c r="A42" t="s">
        <v>15</v>
      </c>
      <c r="B42">
        <v>30</v>
      </c>
    </row>
    <row r="43" spans="1:2">
      <c r="A43" t="s">
        <v>14</v>
      </c>
      <c r="B43">
        <v>98.8</v>
      </c>
    </row>
    <row r="44" spans="1:2">
      <c r="A44" t="s">
        <v>12</v>
      </c>
      <c r="B44">
        <v>12</v>
      </c>
    </row>
    <row r="45" spans="1:2">
      <c r="A45" t="s">
        <v>11</v>
      </c>
      <c r="B45">
        <v>183.2</v>
      </c>
    </row>
    <row r="46" spans="1:2">
      <c r="A46" t="s">
        <v>8</v>
      </c>
      <c r="B46">
        <v>173.5</v>
      </c>
    </row>
    <row r="47" spans="1:2">
      <c r="A47" t="s">
        <v>16</v>
      </c>
      <c r="B47">
        <f>SUM(B41:B46)</f>
        <v>573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E23" sqref="E23"/>
    </sheetView>
  </sheetViews>
  <sheetFormatPr defaultColWidth="9" defaultRowHeight="14.25"/>
  <cols>
    <col min="1" max="1" width="12.1833333333333" customWidth="1"/>
    <col min="2" max="2" width="13.2666666666667" customWidth="1"/>
    <col min="3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9.9083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4105.88</v>
      </c>
      <c r="C3" s="19">
        <v>1320.87</v>
      </c>
      <c r="D3" s="19">
        <v>2245.21</v>
      </c>
      <c r="E3" s="19">
        <f>484*39</f>
        <v>18876</v>
      </c>
      <c r="F3" s="19">
        <f t="shared" ref="F3:F10" si="0">SUM(B3:E3)</f>
        <v>26547.96</v>
      </c>
      <c r="G3" s="20">
        <v>5426.75</v>
      </c>
      <c r="I3" t="s">
        <v>9</v>
      </c>
      <c r="J3" s="16">
        <f>F3+F4+F5+F6</f>
        <v>41505.715</v>
      </c>
      <c r="K3" s="21"/>
      <c r="L3" t="s">
        <v>10</v>
      </c>
      <c r="M3" s="16">
        <f>F7+F8+F9</f>
        <v>60098.33</v>
      </c>
      <c r="N3" s="21"/>
    </row>
    <row r="4" spans="1:11">
      <c r="A4" t="s">
        <v>11</v>
      </c>
      <c r="B4" s="19"/>
      <c r="C4" s="19">
        <v>1809.31</v>
      </c>
      <c r="D4" s="19">
        <v>1052.82</v>
      </c>
      <c r="E4" s="19">
        <v>10590</v>
      </c>
      <c r="F4" s="19">
        <f t="shared" si="0"/>
        <v>13452.13</v>
      </c>
      <c r="G4" s="20">
        <v>1809.31</v>
      </c>
      <c r="K4" s="21"/>
    </row>
    <row r="5" spans="1:11">
      <c r="A5" t="s">
        <v>12</v>
      </c>
      <c r="B5" s="19"/>
      <c r="C5" s="19"/>
      <c r="D5" s="19"/>
      <c r="E5" s="19"/>
      <c r="F5" s="19">
        <f t="shared" si="0"/>
        <v>0</v>
      </c>
      <c r="G5" s="20"/>
      <c r="J5" t="s">
        <v>1</v>
      </c>
      <c r="K5" s="21" t="s">
        <v>6</v>
      </c>
    </row>
    <row r="6" spans="1:11">
      <c r="A6" t="s">
        <v>13</v>
      </c>
      <c r="B6" s="19">
        <v>1505.625</v>
      </c>
      <c r="D6" s="19"/>
      <c r="E6" s="19"/>
      <c r="F6" s="19">
        <f t="shared" si="0"/>
        <v>1505.625</v>
      </c>
      <c r="G6" s="20">
        <v>1505.625</v>
      </c>
      <c r="J6" t="s">
        <v>9</v>
      </c>
      <c r="K6" s="16">
        <f>J3</f>
        <v>41505.715</v>
      </c>
    </row>
    <row r="7" spans="1:11">
      <c r="A7" t="s">
        <v>14</v>
      </c>
      <c r="B7" s="19">
        <v>454.52</v>
      </c>
      <c r="C7" s="19">
        <v>1424.32</v>
      </c>
      <c r="D7" s="19">
        <v>21974.19</v>
      </c>
      <c r="E7" s="19">
        <v>19967</v>
      </c>
      <c r="F7" s="19">
        <f t="shared" si="0"/>
        <v>43820.03</v>
      </c>
      <c r="G7" s="20">
        <v>1878.84</v>
      </c>
      <c r="J7" t="s">
        <v>10</v>
      </c>
      <c r="K7" s="16">
        <f>M3</f>
        <v>60098.33</v>
      </c>
    </row>
    <row r="8" spans="1:11">
      <c r="A8" t="s">
        <v>15</v>
      </c>
      <c r="B8" s="19"/>
      <c r="C8" s="19">
        <v>93.38</v>
      </c>
      <c r="D8" s="19">
        <v>1877.01</v>
      </c>
      <c r="E8" s="19">
        <v>13149</v>
      </c>
      <c r="F8" s="19">
        <f t="shared" si="0"/>
        <v>15119.39</v>
      </c>
      <c r="G8" s="20">
        <v>93.38</v>
      </c>
      <c r="I8" s="17"/>
      <c r="J8" t="s">
        <v>16</v>
      </c>
      <c r="K8" s="19">
        <f>K6+K7</f>
        <v>101604.045</v>
      </c>
    </row>
    <row r="9" spans="1:11">
      <c r="A9" t="s">
        <v>17</v>
      </c>
      <c r="B9" s="19">
        <v>848.32</v>
      </c>
      <c r="C9" s="19">
        <v>310.59</v>
      </c>
      <c r="D9" s="19"/>
      <c r="E9" s="19"/>
      <c r="F9" s="19">
        <f t="shared" si="0"/>
        <v>1158.91</v>
      </c>
      <c r="G9" s="20">
        <v>1158.91</v>
      </c>
      <c r="J9" s="22"/>
      <c r="K9" s="22"/>
    </row>
    <row r="10" spans="1:11">
      <c r="A10" t="s">
        <v>16</v>
      </c>
      <c r="B10" s="19">
        <v>5408.72</v>
      </c>
      <c r="C10" s="19">
        <v>6464.095</v>
      </c>
      <c r="D10" s="19">
        <v>27149.23</v>
      </c>
      <c r="E10" s="19">
        <v>62582</v>
      </c>
      <c r="F10" s="19">
        <f t="shared" si="0"/>
        <v>101604.045</v>
      </c>
      <c r="G10" s="20">
        <f>SUM(G3:G9)</f>
        <v>11872.815</v>
      </c>
      <c r="J10" s="22"/>
      <c r="K10" s="22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B16">
        <v>27</v>
      </c>
      <c r="D16" t="s">
        <v>15</v>
      </c>
      <c r="E16">
        <v>88</v>
      </c>
    </row>
    <row r="17" spans="1:5">
      <c r="A17" t="s">
        <v>14</v>
      </c>
      <c r="B17">
        <v>41</v>
      </c>
      <c r="D17" t="s">
        <v>14</v>
      </c>
      <c r="E17" s="23">
        <v>1102</v>
      </c>
    </row>
    <row r="18" spans="1:5">
      <c r="A18" t="s">
        <v>11</v>
      </c>
      <c r="B18">
        <v>30</v>
      </c>
      <c r="D18" t="s">
        <v>11</v>
      </c>
      <c r="E18">
        <v>57</v>
      </c>
    </row>
    <row r="19" spans="1:5">
      <c r="A19" t="s">
        <v>8</v>
      </c>
      <c r="B19">
        <v>39</v>
      </c>
      <c r="D19" t="s">
        <v>8</v>
      </c>
      <c r="E19">
        <v>99.5</v>
      </c>
    </row>
    <row r="20" spans="1:5">
      <c r="A20" t="s">
        <v>16</v>
      </c>
      <c r="B20">
        <f>SUM(B16:B19)</f>
        <v>137</v>
      </c>
      <c r="D20" t="s">
        <v>16</v>
      </c>
      <c r="E20">
        <f>SUM(E16:E19)</f>
        <v>1346.5</v>
      </c>
    </row>
    <row r="22" spans="1:5">
      <c r="A22" t="s">
        <v>21</v>
      </c>
      <c r="B22" t="s">
        <v>20</v>
      </c>
      <c r="D22" t="s">
        <v>24</v>
      </c>
      <c r="E22" t="s">
        <v>20</v>
      </c>
    </row>
    <row r="23" spans="1:6">
      <c r="A23" t="s">
        <v>17</v>
      </c>
      <c r="B23" s="11">
        <v>6447</v>
      </c>
      <c r="D23" t="s">
        <v>17</v>
      </c>
      <c r="E23" s="10">
        <v>62477</v>
      </c>
      <c r="F23" s="10"/>
    </row>
    <row r="24" spans="1:5">
      <c r="A24" t="s">
        <v>15</v>
      </c>
      <c r="B24" s="10">
        <v>2192</v>
      </c>
      <c r="D24" t="s">
        <v>14</v>
      </c>
      <c r="E24" s="10">
        <v>6950</v>
      </c>
    </row>
    <row r="25" spans="1:5">
      <c r="A25" t="s">
        <v>14</v>
      </c>
      <c r="B25" s="10">
        <v>26024</v>
      </c>
      <c r="D25" t="s">
        <v>13</v>
      </c>
      <c r="E25" s="10">
        <v>9377</v>
      </c>
    </row>
    <row r="26" spans="1:5">
      <c r="A26" t="s">
        <v>11</v>
      </c>
      <c r="B26" s="10">
        <v>77910</v>
      </c>
      <c r="D26" t="s">
        <v>8</v>
      </c>
      <c r="E26" s="10">
        <v>31689</v>
      </c>
    </row>
    <row r="27" spans="1:5">
      <c r="A27" t="s">
        <v>8</v>
      </c>
      <c r="B27" s="10">
        <v>54043</v>
      </c>
      <c r="D27" t="s">
        <v>16</v>
      </c>
      <c r="E27" s="11">
        <f>SUM(E23:E26)</f>
        <v>110493</v>
      </c>
    </row>
    <row r="28" spans="1:2">
      <c r="A28" t="s">
        <v>16</v>
      </c>
      <c r="B28" s="11">
        <f>SUM(B23:B27)</f>
        <v>166616</v>
      </c>
    </row>
    <row r="32" spans="1:5">
      <c r="A32" t="s">
        <v>21</v>
      </c>
      <c r="B32" t="s">
        <v>22</v>
      </c>
      <c r="D32" t="s">
        <v>24</v>
      </c>
      <c r="E32" t="s">
        <v>22</v>
      </c>
    </row>
    <row r="33" spans="1:5">
      <c r="A33" t="s">
        <v>17</v>
      </c>
      <c r="B33">
        <v>73.5</v>
      </c>
      <c r="D33" t="s">
        <v>17</v>
      </c>
      <c r="E33">
        <v>97.5</v>
      </c>
    </row>
    <row r="34" spans="1:5">
      <c r="A34" t="s">
        <v>15</v>
      </c>
      <c r="B34">
        <v>23</v>
      </c>
      <c r="D34" t="s">
        <v>14</v>
      </c>
      <c r="E34">
        <v>28</v>
      </c>
    </row>
    <row r="35" spans="1:5">
      <c r="A35" t="s">
        <v>14</v>
      </c>
      <c r="B35">
        <v>173.4</v>
      </c>
      <c r="D35" t="s">
        <v>13</v>
      </c>
      <c r="E35">
        <v>197.1</v>
      </c>
    </row>
    <row r="36" spans="1:5">
      <c r="A36" t="s">
        <v>11</v>
      </c>
      <c r="B36">
        <v>368.3</v>
      </c>
      <c r="D36" t="s">
        <v>8</v>
      </c>
      <c r="E36">
        <v>201.5</v>
      </c>
    </row>
    <row r="37" spans="1:5">
      <c r="A37" t="s">
        <v>8</v>
      </c>
      <c r="B37">
        <v>199</v>
      </c>
      <c r="D37" t="s">
        <v>16</v>
      </c>
      <c r="E37">
        <f>SUM(E33:E36)</f>
        <v>524.1</v>
      </c>
    </row>
    <row r="38" spans="1:2">
      <c r="A38" t="s">
        <v>16</v>
      </c>
      <c r="B38">
        <f>SUM(B33:B37)</f>
        <v>837.2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F26" sqref="F26"/>
    </sheetView>
  </sheetViews>
  <sheetFormatPr defaultColWidth="9" defaultRowHeight="14.25"/>
  <cols>
    <col min="1" max="1" width="12.1833333333333" customWidth="1"/>
    <col min="2" max="2" width="13.2666666666667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9.9083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>
        <v>8758.53</v>
      </c>
      <c r="C3" s="19">
        <v>1358.56</v>
      </c>
      <c r="D3" s="19">
        <v>1878.2</v>
      </c>
      <c r="E3" s="19">
        <v>18876</v>
      </c>
      <c r="F3" s="19">
        <f>SUM(C3:E3)</f>
        <v>22112.76</v>
      </c>
      <c r="G3" s="20">
        <f t="shared" ref="G3:G10" si="0">B3+C3</f>
        <v>10117.09</v>
      </c>
      <c r="I3" t="s">
        <v>9</v>
      </c>
      <c r="J3" s="16">
        <f>F3+F4+F5+F6</f>
        <v>47188.53</v>
      </c>
      <c r="K3" s="21"/>
      <c r="L3" t="s">
        <v>10</v>
      </c>
      <c r="M3" s="16">
        <f>F7+F8+F9</f>
        <v>53293.43</v>
      </c>
      <c r="N3" s="21"/>
    </row>
    <row r="4" spans="1:11">
      <c r="A4" t="s">
        <v>11</v>
      </c>
      <c r="B4" s="19"/>
      <c r="C4" s="19">
        <v>10122.27</v>
      </c>
      <c r="D4" s="19">
        <v>1503.67</v>
      </c>
      <c r="E4" s="19">
        <v>10590</v>
      </c>
      <c r="F4" s="19">
        <f t="shared" ref="F4:F10" si="1">SUM(B4:E4)</f>
        <v>22215.94</v>
      </c>
      <c r="G4" s="20">
        <f t="shared" si="0"/>
        <v>10122.27</v>
      </c>
      <c r="K4" s="21"/>
    </row>
    <row r="5" spans="1:11">
      <c r="A5" t="s">
        <v>12</v>
      </c>
      <c r="B5" s="19"/>
      <c r="C5" s="19">
        <v>41.08</v>
      </c>
      <c r="D5" s="19"/>
      <c r="E5" s="19"/>
      <c r="F5" s="19">
        <f t="shared" si="1"/>
        <v>41.08</v>
      </c>
      <c r="G5" s="20">
        <f t="shared" si="0"/>
        <v>41.08</v>
      </c>
      <c r="J5" t="s">
        <v>1</v>
      </c>
      <c r="K5" s="21" t="s">
        <v>6</v>
      </c>
    </row>
    <row r="6" spans="1:11">
      <c r="A6" t="s">
        <v>13</v>
      </c>
      <c r="B6" s="19">
        <v>136.875</v>
      </c>
      <c r="C6" s="19">
        <v>2681.875</v>
      </c>
      <c r="D6" s="19"/>
      <c r="E6" s="19"/>
      <c r="F6" s="19">
        <f t="shared" si="1"/>
        <v>2818.75</v>
      </c>
      <c r="G6" s="20">
        <f t="shared" si="0"/>
        <v>2818.75</v>
      </c>
      <c r="J6" t="s">
        <v>9</v>
      </c>
      <c r="K6" s="16">
        <f>J3</f>
        <v>47188.53</v>
      </c>
    </row>
    <row r="7" spans="1:11">
      <c r="A7" t="s">
        <v>14</v>
      </c>
      <c r="B7" s="19">
        <v>1293.95</v>
      </c>
      <c r="C7" s="19">
        <v>2516.79</v>
      </c>
      <c r="D7" s="19">
        <v>9627.10999999997</v>
      </c>
      <c r="E7" s="19">
        <v>19480</v>
      </c>
      <c r="F7" s="19">
        <f t="shared" si="1"/>
        <v>32917.85</v>
      </c>
      <c r="G7" s="20">
        <f t="shared" si="0"/>
        <v>3810.74</v>
      </c>
      <c r="J7" t="s">
        <v>10</v>
      </c>
      <c r="K7" s="16">
        <f>M3</f>
        <v>53293.43</v>
      </c>
    </row>
    <row r="8" spans="1:11">
      <c r="A8" t="s">
        <v>15</v>
      </c>
      <c r="B8" s="19"/>
      <c r="C8" s="19">
        <v>119.75</v>
      </c>
      <c r="D8" s="19">
        <v>948.09</v>
      </c>
      <c r="E8" s="19">
        <v>13149</v>
      </c>
      <c r="F8" s="19">
        <f t="shared" si="1"/>
        <v>14216.84</v>
      </c>
      <c r="G8" s="20">
        <f t="shared" si="0"/>
        <v>119.75</v>
      </c>
      <c r="I8" s="17"/>
      <c r="J8" t="s">
        <v>16</v>
      </c>
      <c r="K8" s="19">
        <f>K6+K7</f>
        <v>100481.96</v>
      </c>
    </row>
    <row r="9" spans="1:11">
      <c r="A9" t="s">
        <v>17</v>
      </c>
      <c r="B9" s="19">
        <v>5626.05</v>
      </c>
      <c r="C9" s="19">
        <v>532.69</v>
      </c>
      <c r="D9" s="19"/>
      <c r="E9" s="19"/>
      <c r="F9" s="19">
        <f t="shared" si="1"/>
        <v>6158.74</v>
      </c>
      <c r="G9" s="20">
        <f t="shared" si="0"/>
        <v>6158.74</v>
      </c>
      <c r="J9" s="22"/>
      <c r="K9" s="22"/>
    </row>
    <row r="10" spans="1:11">
      <c r="A10" t="s">
        <v>16</v>
      </c>
      <c r="B10" s="19">
        <f>SUM(B3:B9)</f>
        <v>15815.405</v>
      </c>
      <c r="C10" s="19">
        <f>SUM(C3:C9)</f>
        <v>17373.015</v>
      </c>
      <c r="D10" s="19">
        <f>SUM(D3:D9)</f>
        <v>13957.07</v>
      </c>
      <c r="E10" s="19">
        <f>SUM(E3:E9)</f>
        <v>62095</v>
      </c>
      <c r="F10" s="19">
        <f t="shared" si="1"/>
        <v>109240.49</v>
      </c>
      <c r="G10" s="20">
        <f t="shared" si="0"/>
        <v>33188.42</v>
      </c>
      <c r="J10" s="22"/>
      <c r="K10" s="22"/>
    </row>
    <row r="12" spans="9:9">
      <c r="I12" s="16"/>
    </row>
    <row r="14" spans="9:11">
      <c r="I14">
        <v>2818.75</v>
      </c>
      <c r="J14" t="s">
        <v>29</v>
      </c>
      <c r="K14" t="s">
        <v>30</v>
      </c>
    </row>
    <row r="15" spans="1:11">
      <c r="A15" t="s">
        <v>5</v>
      </c>
      <c r="B15" t="s">
        <v>18</v>
      </c>
      <c r="D15" t="s">
        <v>19</v>
      </c>
      <c r="E15" t="s">
        <v>20</v>
      </c>
      <c r="I15">
        <v>2818.75</v>
      </c>
      <c r="J15">
        <v>451</v>
      </c>
      <c r="K15">
        <v>19323</v>
      </c>
    </row>
    <row r="16" spans="1:5">
      <c r="A16" t="s">
        <v>15</v>
      </c>
      <c r="B16">
        <v>27</v>
      </c>
      <c r="D16" t="s">
        <v>15</v>
      </c>
      <c r="E16">
        <v>45.5</v>
      </c>
    </row>
    <row r="17" spans="1:5">
      <c r="A17" t="s">
        <v>14</v>
      </c>
      <c r="B17">
        <v>40</v>
      </c>
      <c r="D17" t="s">
        <v>14</v>
      </c>
      <c r="E17" s="9">
        <v>504.5</v>
      </c>
    </row>
    <row r="18" spans="1:5">
      <c r="A18" t="s">
        <v>11</v>
      </c>
      <c r="B18">
        <v>30</v>
      </c>
      <c r="D18" t="s">
        <v>11</v>
      </c>
      <c r="E18">
        <v>85.5</v>
      </c>
    </row>
    <row r="19" spans="1:5">
      <c r="A19" t="s">
        <v>8</v>
      </c>
      <c r="B19">
        <v>39</v>
      </c>
      <c r="D19" t="s">
        <v>8</v>
      </c>
      <c r="E19">
        <v>94.5</v>
      </c>
    </row>
    <row r="20" spans="1:5">
      <c r="A20" t="s">
        <v>16</v>
      </c>
      <c r="B20">
        <f>SUM(B16:B19)</f>
        <v>136</v>
      </c>
      <c r="D20" t="s">
        <v>16</v>
      </c>
      <c r="E20">
        <f>SUM(E16:E19)</f>
        <v>730</v>
      </c>
    </row>
    <row r="22" spans="1:5">
      <c r="A22" t="s">
        <v>21</v>
      </c>
      <c r="B22" t="s">
        <v>20</v>
      </c>
      <c r="D22" t="s">
        <v>24</v>
      </c>
      <c r="E22" t="s">
        <v>20</v>
      </c>
    </row>
    <row r="23" spans="1:6">
      <c r="A23" t="s">
        <v>17</v>
      </c>
      <c r="B23" s="10">
        <v>30087</v>
      </c>
      <c r="D23" t="s">
        <v>17</v>
      </c>
      <c r="E23" s="10">
        <v>230730</v>
      </c>
      <c r="F23" s="10"/>
    </row>
    <row r="24" spans="1:5">
      <c r="A24" t="s">
        <v>15</v>
      </c>
      <c r="B24" s="10">
        <v>1712</v>
      </c>
      <c r="D24" t="s">
        <v>14</v>
      </c>
      <c r="E24" s="10">
        <v>22485</v>
      </c>
    </row>
    <row r="25" spans="1:5">
      <c r="A25" t="s">
        <v>14</v>
      </c>
      <c r="B25" s="10">
        <v>30302</v>
      </c>
      <c r="D25" t="s">
        <v>13</v>
      </c>
      <c r="E25" s="10">
        <v>621</v>
      </c>
    </row>
    <row r="26" spans="1:5">
      <c r="A26" t="s">
        <v>13</v>
      </c>
      <c r="B26" s="11">
        <v>18702</v>
      </c>
      <c r="D26" t="s">
        <v>8</v>
      </c>
      <c r="E26" s="10">
        <v>90249</v>
      </c>
    </row>
    <row r="27" spans="1:5">
      <c r="A27" t="s">
        <v>12</v>
      </c>
      <c r="B27" s="10">
        <v>2369</v>
      </c>
      <c r="D27" t="s">
        <v>16</v>
      </c>
      <c r="E27" s="11">
        <f>SUM(E23:E26)</f>
        <v>344085</v>
      </c>
    </row>
    <row r="28" spans="1:2">
      <c r="A28" t="s">
        <v>11</v>
      </c>
      <c r="B28" s="10">
        <v>175978</v>
      </c>
    </row>
    <row r="29" spans="1:2">
      <c r="A29" t="s">
        <v>8</v>
      </c>
      <c r="B29" s="10">
        <v>59287</v>
      </c>
    </row>
    <row r="30" spans="1:2">
      <c r="A30" t="s">
        <v>16</v>
      </c>
      <c r="B30" s="11">
        <f>SUM(B23:B29)</f>
        <v>318437</v>
      </c>
    </row>
    <row r="32" spans="1:5">
      <c r="A32" t="s">
        <v>21</v>
      </c>
      <c r="B32" t="s">
        <v>22</v>
      </c>
      <c r="D32" t="s">
        <v>24</v>
      </c>
      <c r="E32" t="s">
        <v>22</v>
      </c>
    </row>
    <row r="33" spans="1:5">
      <c r="A33" t="s">
        <v>17</v>
      </c>
      <c r="B33" s="12">
        <v>80.5</v>
      </c>
      <c r="D33" t="s">
        <v>17</v>
      </c>
      <c r="E33">
        <v>334</v>
      </c>
    </row>
    <row r="34" spans="1:5">
      <c r="A34" t="s">
        <v>15</v>
      </c>
      <c r="B34" s="12">
        <v>17</v>
      </c>
      <c r="D34" t="s">
        <v>14</v>
      </c>
      <c r="E34">
        <v>83.1000000000002</v>
      </c>
    </row>
    <row r="35" spans="1:5">
      <c r="A35" t="s">
        <v>14</v>
      </c>
      <c r="B35" s="12">
        <v>232.3</v>
      </c>
      <c r="D35" t="s">
        <v>13</v>
      </c>
      <c r="E35">
        <v>21.9</v>
      </c>
    </row>
    <row r="36" spans="1:5">
      <c r="A36" t="s">
        <v>13</v>
      </c>
      <c r="B36" s="12">
        <v>429.1</v>
      </c>
      <c r="D36" t="s">
        <v>8</v>
      </c>
      <c r="E36">
        <v>416</v>
      </c>
    </row>
    <row r="37" spans="1:5">
      <c r="A37" t="s">
        <v>12</v>
      </c>
      <c r="B37" s="12">
        <v>14.5</v>
      </c>
      <c r="D37" t="s">
        <v>16</v>
      </c>
      <c r="E37">
        <f>SUM(E33:E36)</f>
        <v>855</v>
      </c>
    </row>
    <row r="38" spans="1:2">
      <c r="A38" t="s">
        <v>11</v>
      </c>
      <c r="B38" s="12">
        <v>905.399999999999</v>
      </c>
    </row>
    <row r="39" spans="1:2">
      <c r="A39" t="s">
        <v>8</v>
      </c>
      <c r="B39" s="12">
        <v>185.7</v>
      </c>
    </row>
    <row r="40" spans="1:2">
      <c r="A40" t="s">
        <v>16</v>
      </c>
      <c r="B40" s="12">
        <f>SUM(B33:B39)</f>
        <v>1864.5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C9" sqref="C9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9.9083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9560.08000000001</v>
      </c>
      <c r="C3" s="19">
        <v>1753.09</v>
      </c>
      <c r="D3" s="19">
        <v>1944</v>
      </c>
      <c r="E3" s="19"/>
      <c r="F3" s="19">
        <f t="shared" ref="F3:F10" si="0">SUM(B3:E3)</f>
        <v>13257.17</v>
      </c>
      <c r="G3" s="20">
        <f t="shared" ref="G3:G10" si="1">B3+C3</f>
        <v>11313.17</v>
      </c>
      <c r="I3" t="s">
        <v>9</v>
      </c>
      <c r="J3" s="16">
        <f>F3+F4+F5+F6</f>
        <v>31014.555</v>
      </c>
      <c r="K3" s="21"/>
      <c r="L3" t="s">
        <v>10</v>
      </c>
      <c r="M3" s="16">
        <f>F7+F8+F9</f>
        <v>58885.67</v>
      </c>
      <c r="N3" s="21"/>
    </row>
    <row r="4" spans="1:11">
      <c r="A4" t="s">
        <v>11</v>
      </c>
      <c r="B4" s="19">
        <v>10593.62</v>
      </c>
      <c r="C4" s="19">
        <v>1097.01</v>
      </c>
      <c r="D4" s="19">
        <v>1877.25</v>
      </c>
      <c r="E4" s="19"/>
      <c r="F4" s="19">
        <f t="shared" si="0"/>
        <v>13567.88</v>
      </c>
      <c r="G4" s="20">
        <f t="shared" si="1"/>
        <v>11690.63</v>
      </c>
      <c r="K4" s="21"/>
    </row>
    <row r="5" spans="1:11">
      <c r="A5" t="s">
        <v>12</v>
      </c>
      <c r="B5" s="19"/>
      <c r="C5" s="19">
        <v>28.88</v>
      </c>
      <c r="D5" s="19"/>
      <c r="E5" s="19"/>
      <c r="F5" s="19">
        <f t="shared" si="0"/>
        <v>28.88</v>
      </c>
      <c r="G5" s="20">
        <f t="shared" si="1"/>
        <v>28.88</v>
      </c>
      <c r="J5" t="s">
        <v>1</v>
      </c>
      <c r="K5" s="21" t="s">
        <v>6</v>
      </c>
    </row>
    <row r="6" spans="1:11">
      <c r="A6" t="s">
        <v>13</v>
      </c>
      <c r="B6" s="19">
        <v>4160.625</v>
      </c>
      <c r="C6" s="19"/>
      <c r="D6" s="19"/>
      <c r="E6" s="19"/>
      <c r="F6" s="19">
        <f t="shared" si="0"/>
        <v>4160.625</v>
      </c>
      <c r="G6" s="20">
        <f t="shared" si="1"/>
        <v>4160.625</v>
      </c>
      <c r="J6" t="s">
        <v>9</v>
      </c>
      <c r="K6" s="16">
        <f>J3</f>
        <v>31014.555</v>
      </c>
    </row>
    <row r="7" spans="1:11">
      <c r="A7" t="s">
        <v>14</v>
      </c>
      <c r="B7" s="19">
        <v>2520.16</v>
      </c>
      <c r="C7" s="19">
        <v>2862.63</v>
      </c>
      <c r="D7" s="19">
        <v>18389.09</v>
      </c>
      <c r="E7" s="19"/>
      <c r="F7" s="19">
        <f t="shared" si="0"/>
        <v>23771.88</v>
      </c>
      <c r="G7" s="20">
        <f t="shared" si="1"/>
        <v>5382.79</v>
      </c>
      <c r="J7" t="s">
        <v>10</v>
      </c>
      <c r="K7" s="16">
        <f>M3</f>
        <v>58885.67</v>
      </c>
    </row>
    <row r="8" spans="1:11">
      <c r="A8" t="s">
        <v>15</v>
      </c>
      <c r="B8" s="19"/>
      <c r="C8" s="19">
        <v>137.4</v>
      </c>
      <c r="D8" s="19">
        <v>1213.99</v>
      </c>
      <c r="E8" s="19"/>
      <c r="F8" s="19">
        <f t="shared" si="0"/>
        <v>1351.39</v>
      </c>
      <c r="G8" s="20">
        <f t="shared" si="1"/>
        <v>137.4</v>
      </c>
      <c r="I8" s="17"/>
      <c r="J8" t="s">
        <v>16</v>
      </c>
      <c r="K8" s="19">
        <f>K6+K7</f>
        <v>89900.225</v>
      </c>
    </row>
    <row r="9" spans="1:11">
      <c r="A9" t="s">
        <v>17</v>
      </c>
      <c r="B9" s="19">
        <v>33018.72</v>
      </c>
      <c r="C9" s="19">
        <v>743.68</v>
      </c>
      <c r="D9" s="19"/>
      <c r="E9" s="19"/>
      <c r="F9" s="19">
        <f t="shared" si="0"/>
        <v>33762.4</v>
      </c>
      <c r="G9" s="20">
        <f t="shared" si="1"/>
        <v>33762.4</v>
      </c>
      <c r="J9" s="22"/>
      <c r="K9" s="22"/>
    </row>
    <row r="10" spans="1:11">
      <c r="A10" t="s">
        <v>16</v>
      </c>
      <c r="B10" s="19">
        <f>SUM(B3:B9)</f>
        <v>59853.205</v>
      </c>
      <c r="C10" s="19">
        <f>SUM(C3:C9)</f>
        <v>6622.69</v>
      </c>
      <c r="D10" s="19">
        <f>SUM(D3:D9)</f>
        <v>23424.33</v>
      </c>
      <c r="E10" s="19">
        <f>SUM(E3:E9)</f>
        <v>0</v>
      </c>
      <c r="F10" s="19">
        <f t="shared" si="0"/>
        <v>89900.225</v>
      </c>
      <c r="G10" s="20">
        <f t="shared" si="1"/>
        <v>66475.895</v>
      </c>
      <c r="J10" s="22"/>
      <c r="K10" s="22"/>
    </row>
    <row r="12" spans="9:9">
      <c r="I12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59.5</v>
      </c>
    </row>
    <row r="17" spans="1:5">
      <c r="A17" t="s">
        <v>14</v>
      </c>
      <c r="D17" t="s">
        <v>14</v>
      </c>
      <c r="E17" s="9">
        <v>931</v>
      </c>
    </row>
    <row r="18" spans="1:5">
      <c r="A18" t="s">
        <v>11</v>
      </c>
      <c r="D18" t="s">
        <v>11</v>
      </c>
      <c r="E18">
        <v>108</v>
      </c>
    </row>
    <row r="19" spans="1:5">
      <c r="A19" t="s">
        <v>8</v>
      </c>
      <c r="D19" t="s">
        <v>8</v>
      </c>
      <c r="E19">
        <v>103.5</v>
      </c>
    </row>
    <row r="20" spans="1:5">
      <c r="A20" t="s">
        <v>16</v>
      </c>
      <c r="D20" t="s">
        <v>16</v>
      </c>
      <c r="E20">
        <f>SUM(E16:E19)</f>
        <v>1202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62275</v>
      </c>
      <c r="D23" t="s">
        <v>17</v>
      </c>
      <c r="E23" s="12">
        <v>83.5</v>
      </c>
      <c r="F23" s="10"/>
    </row>
    <row r="24" spans="1:5">
      <c r="A24" t="s">
        <v>15</v>
      </c>
      <c r="B24" s="10">
        <v>4416</v>
      </c>
      <c r="D24" t="s">
        <v>15</v>
      </c>
      <c r="E24" s="12">
        <v>36</v>
      </c>
    </row>
    <row r="25" spans="1:5">
      <c r="A25" t="s">
        <v>14</v>
      </c>
      <c r="B25" s="10">
        <v>27208</v>
      </c>
      <c r="D25" t="s">
        <v>14</v>
      </c>
      <c r="E25" s="12">
        <v>408.3</v>
      </c>
    </row>
    <row r="26" spans="1:5">
      <c r="A26" t="s">
        <v>12</v>
      </c>
      <c r="B26" s="10">
        <v>2146</v>
      </c>
      <c r="D26" t="s">
        <v>12</v>
      </c>
      <c r="E26" s="12">
        <v>8.5</v>
      </c>
    </row>
    <row r="27" spans="1:5">
      <c r="A27" t="s">
        <v>11</v>
      </c>
      <c r="B27" s="10">
        <v>41407</v>
      </c>
      <c r="D27" t="s">
        <v>11</v>
      </c>
      <c r="E27" s="12">
        <v>201.7</v>
      </c>
    </row>
    <row r="28" spans="1:5">
      <c r="A28" t="s">
        <v>8</v>
      </c>
      <c r="B28" s="10">
        <v>52610</v>
      </c>
      <c r="D28" t="s">
        <v>8</v>
      </c>
      <c r="E28" s="12">
        <v>215.000000000001</v>
      </c>
    </row>
    <row r="29" spans="1:5">
      <c r="A29" t="s">
        <v>16</v>
      </c>
      <c r="B29" s="11">
        <f>SUM(B23:B28)</f>
        <v>190062</v>
      </c>
      <c r="D29" t="s">
        <v>16</v>
      </c>
      <c r="E29" s="12">
        <f>SUM(E23:E28)</f>
        <v>953.000000000001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5">
      <c r="A32" t="s">
        <v>17</v>
      </c>
      <c r="B32" s="10">
        <v>301331</v>
      </c>
      <c r="D32" t="s">
        <v>17</v>
      </c>
      <c r="E32">
        <v>347.5</v>
      </c>
    </row>
    <row r="33" spans="1:5">
      <c r="A33" t="s">
        <v>14</v>
      </c>
      <c r="B33" s="10">
        <v>39506</v>
      </c>
      <c r="D33" t="s">
        <v>14</v>
      </c>
      <c r="E33">
        <v>157.5</v>
      </c>
    </row>
    <row r="34" spans="1:5">
      <c r="A34" t="s">
        <v>13</v>
      </c>
      <c r="B34" s="11">
        <v>29087</v>
      </c>
      <c r="D34" t="s">
        <v>13</v>
      </c>
      <c r="E34" s="12">
        <v>665.7</v>
      </c>
    </row>
    <row r="35" spans="1:5">
      <c r="A35" t="s">
        <v>11</v>
      </c>
      <c r="B35">
        <v>144294</v>
      </c>
      <c r="D35" t="s">
        <v>11</v>
      </c>
      <c r="E35">
        <v>849.5</v>
      </c>
    </row>
    <row r="36" spans="1:5">
      <c r="A36" t="s">
        <v>8</v>
      </c>
      <c r="B36" s="10">
        <v>104670</v>
      </c>
      <c r="D36" t="s">
        <v>8</v>
      </c>
      <c r="E36">
        <v>535.5</v>
      </c>
    </row>
    <row r="37" spans="1:5">
      <c r="A37" t="s">
        <v>16</v>
      </c>
      <c r="B37" s="11">
        <f>SUM(B32:B36)</f>
        <v>618888</v>
      </c>
      <c r="D37" t="s">
        <v>16</v>
      </c>
      <c r="E37">
        <f>SUM(E32:E36)</f>
        <v>2555.7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G20" sqref="G20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9.9083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9272.85000000001</v>
      </c>
      <c r="C3" s="19">
        <v>1979.36</v>
      </c>
      <c r="D3" s="19">
        <v>1539.8</v>
      </c>
      <c r="E3" s="19"/>
      <c r="F3" s="19">
        <f t="shared" ref="F3:F10" si="0">SUM(B3:E3)</f>
        <v>12792.01</v>
      </c>
      <c r="G3" s="20">
        <f t="shared" ref="G3:G10" si="1">B3+C3</f>
        <v>11252.21</v>
      </c>
      <c r="I3" t="s">
        <v>9</v>
      </c>
      <c r="J3" s="16">
        <f>F3+F4+F5+F6</f>
        <v>32002.905</v>
      </c>
      <c r="K3" s="21"/>
      <c r="L3" t="s">
        <v>10</v>
      </c>
      <c r="M3" s="16">
        <f>F7+F8+F9</f>
        <v>37190.8399999999</v>
      </c>
      <c r="N3" s="21"/>
    </row>
    <row r="4" spans="1:11">
      <c r="A4" t="s">
        <v>11</v>
      </c>
      <c r="B4" s="19">
        <v>12225.8</v>
      </c>
      <c r="C4" s="19">
        <v>630.17</v>
      </c>
      <c r="D4" s="19">
        <v>1624.3</v>
      </c>
      <c r="E4" s="19"/>
      <c r="F4" s="19">
        <f t="shared" si="0"/>
        <v>14480.27</v>
      </c>
      <c r="G4" s="20">
        <f t="shared" si="1"/>
        <v>12855.97</v>
      </c>
      <c r="K4" s="21"/>
    </row>
    <row r="5" spans="1:11">
      <c r="A5" t="s">
        <v>12</v>
      </c>
      <c r="B5" s="19"/>
      <c r="C5" s="19"/>
      <c r="D5" s="19"/>
      <c r="E5" s="19"/>
      <c r="F5" s="19">
        <f t="shared" si="0"/>
        <v>0</v>
      </c>
      <c r="G5" s="20">
        <f t="shared" si="1"/>
        <v>0</v>
      </c>
      <c r="J5" t="s">
        <v>1</v>
      </c>
      <c r="K5" s="21" t="s">
        <v>6</v>
      </c>
    </row>
    <row r="6" spans="1:11">
      <c r="A6" t="s">
        <v>13</v>
      </c>
      <c r="B6" s="19">
        <v>4730.625</v>
      </c>
      <c r="C6" s="19"/>
      <c r="D6" s="19"/>
      <c r="E6" s="19"/>
      <c r="F6" s="19">
        <f t="shared" si="0"/>
        <v>4730.625</v>
      </c>
      <c r="G6" s="20">
        <f t="shared" si="1"/>
        <v>4730.625</v>
      </c>
      <c r="J6" t="s">
        <v>9</v>
      </c>
      <c r="K6" s="16">
        <f>J3</f>
        <v>32002.905</v>
      </c>
    </row>
    <row r="7" spans="1:11">
      <c r="A7" t="s">
        <v>14</v>
      </c>
      <c r="B7" s="19">
        <v>1631.45</v>
      </c>
      <c r="C7" s="19">
        <v>5378.72</v>
      </c>
      <c r="D7" s="19">
        <v>28206.2399999999</v>
      </c>
      <c r="E7" s="19"/>
      <c r="F7" s="19">
        <f t="shared" si="0"/>
        <v>35216.4099999999</v>
      </c>
      <c r="G7" s="20">
        <f t="shared" si="1"/>
        <v>7010.17</v>
      </c>
      <c r="J7" t="s">
        <v>10</v>
      </c>
      <c r="K7" s="16">
        <f>M3</f>
        <v>37190.8399999999</v>
      </c>
    </row>
    <row r="8" spans="1:11">
      <c r="A8" t="s">
        <v>15</v>
      </c>
      <c r="B8" s="19"/>
      <c r="C8" s="19">
        <v>113.68</v>
      </c>
      <c r="D8" s="19">
        <v>1099.76</v>
      </c>
      <c r="E8" s="19"/>
      <c r="F8" s="19">
        <f t="shared" si="0"/>
        <v>1213.44</v>
      </c>
      <c r="G8" s="20">
        <f t="shared" si="1"/>
        <v>113.68</v>
      </c>
      <c r="I8" s="17"/>
      <c r="J8" t="s">
        <v>16</v>
      </c>
      <c r="K8" s="19">
        <f>K6+K7</f>
        <v>69193.7449999999</v>
      </c>
    </row>
    <row r="9" spans="1:11">
      <c r="A9" t="s">
        <v>17</v>
      </c>
      <c r="B9" s="19"/>
      <c r="C9" s="19">
        <v>760.99</v>
      </c>
      <c r="D9" s="19"/>
      <c r="E9" s="19"/>
      <c r="F9" s="19">
        <f t="shared" si="0"/>
        <v>760.99</v>
      </c>
      <c r="G9" s="20">
        <f t="shared" si="1"/>
        <v>760.99</v>
      </c>
      <c r="J9" s="22"/>
      <c r="K9" s="22"/>
    </row>
    <row r="10" spans="1:11">
      <c r="A10" t="s">
        <v>16</v>
      </c>
      <c r="B10" s="19">
        <f>SUM(B3:B9)</f>
        <v>27860.725</v>
      </c>
      <c r="C10" s="19">
        <f>SUM(C3:C9)</f>
        <v>8862.92</v>
      </c>
      <c r="D10" s="19">
        <f>SUM(D3:D9)</f>
        <v>32470.0999999999</v>
      </c>
      <c r="E10" s="19">
        <f>SUM(E3:E9)</f>
        <v>0</v>
      </c>
      <c r="F10" s="19">
        <f t="shared" si="0"/>
        <v>69193.7449999999</v>
      </c>
      <c r="G10" s="20">
        <f t="shared" si="1"/>
        <v>36723.645</v>
      </c>
      <c r="J10" s="22"/>
      <c r="K10" s="22"/>
    </row>
    <row r="12" spans="9:13">
      <c r="I12" s="16"/>
      <c r="M12">
        <v>37190.84</v>
      </c>
    </row>
    <row r="13" spans="12:12">
      <c r="L13" s="16"/>
    </row>
    <row r="14" spans="10:10">
      <c r="J14">
        <v>69193.745</v>
      </c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53.5</v>
      </c>
    </row>
    <row r="17" spans="1:5">
      <c r="A17" t="s">
        <v>14</v>
      </c>
      <c r="D17" t="s">
        <v>14</v>
      </c>
      <c r="E17" s="9">
        <v>1437.5</v>
      </c>
    </row>
    <row r="18" spans="1:5">
      <c r="A18" t="s">
        <v>11</v>
      </c>
      <c r="D18" t="s">
        <v>11</v>
      </c>
      <c r="E18">
        <v>85</v>
      </c>
    </row>
    <row r="19" spans="1:5">
      <c r="A19" t="s">
        <v>8</v>
      </c>
      <c r="D19" t="s">
        <v>8</v>
      </c>
      <c r="E19">
        <v>83.5</v>
      </c>
    </row>
    <row r="20" spans="1:5">
      <c r="A20" t="s">
        <v>16</v>
      </c>
      <c r="D20" t="s">
        <v>16</v>
      </c>
      <c r="E20">
        <f>SUM(E16:E19)</f>
        <v>1659.5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359664</v>
      </c>
      <c r="D23" t="s">
        <v>17</v>
      </c>
      <c r="E23" s="12">
        <v>90</v>
      </c>
      <c r="F23" s="10"/>
    </row>
    <row r="24" spans="1:5">
      <c r="A24" t="s">
        <v>15</v>
      </c>
      <c r="B24" s="10">
        <v>2137</v>
      </c>
      <c r="D24" t="s">
        <v>15</v>
      </c>
      <c r="E24" s="12">
        <v>28</v>
      </c>
    </row>
    <row r="25" spans="1:5">
      <c r="A25" t="s">
        <v>14</v>
      </c>
      <c r="B25" s="10">
        <v>64079</v>
      </c>
      <c r="D25" t="s">
        <v>14</v>
      </c>
      <c r="E25" s="12">
        <v>352.1</v>
      </c>
    </row>
    <row r="26" spans="1:5">
      <c r="A26" t="s">
        <v>12</v>
      </c>
      <c r="B26" s="10"/>
      <c r="D26" t="s">
        <v>12</v>
      </c>
      <c r="E26" s="12"/>
    </row>
    <row r="27" spans="1:5">
      <c r="A27" t="s">
        <v>11</v>
      </c>
      <c r="B27" s="10">
        <v>17427</v>
      </c>
      <c r="D27" t="s">
        <v>11</v>
      </c>
      <c r="E27" s="12">
        <v>122.7</v>
      </c>
    </row>
    <row r="28" spans="1:5">
      <c r="A28" t="s">
        <v>8</v>
      </c>
      <c r="B28" s="10">
        <v>63516</v>
      </c>
      <c r="D28" t="s">
        <v>8</v>
      </c>
      <c r="E28" s="12">
        <v>211.3</v>
      </c>
    </row>
    <row r="29" spans="1:5">
      <c r="A29" t="s">
        <v>16</v>
      </c>
      <c r="B29" s="11">
        <f>SUM(B23:B28)</f>
        <v>506823</v>
      </c>
      <c r="D29" t="s">
        <v>16</v>
      </c>
      <c r="E29" s="12">
        <f>SUM(E23:E28)</f>
        <v>804.1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26623</v>
      </c>
      <c r="D33" t="s">
        <v>14</v>
      </c>
      <c r="E33">
        <v>101.5</v>
      </c>
    </row>
    <row r="34" spans="1:5">
      <c r="A34" t="s">
        <v>13</v>
      </c>
      <c r="B34" s="11">
        <v>31495</v>
      </c>
      <c r="D34" t="s">
        <v>13</v>
      </c>
      <c r="E34" s="12">
        <v>756.9</v>
      </c>
    </row>
    <row r="35" spans="1:5">
      <c r="A35" t="s">
        <v>11</v>
      </c>
      <c r="B35">
        <v>206285</v>
      </c>
      <c r="D35" t="s">
        <v>11</v>
      </c>
      <c r="E35">
        <v>982.3</v>
      </c>
    </row>
    <row r="36" spans="1:5">
      <c r="A36" t="s">
        <v>8</v>
      </c>
      <c r="B36" s="10">
        <v>114875</v>
      </c>
      <c r="D36" t="s">
        <v>8</v>
      </c>
      <c r="E36">
        <v>511.5</v>
      </c>
    </row>
    <row r="37" spans="1:5">
      <c r="A37" t="s">
        <v>16</v>
      </c>
      <c r="B37" s="11">
        <f>SUM(B32:B36)</f>
        <v>379278</v>
      </c>
      <c r="D37" t="s">
        <v>16</v>
      </c>
      <c r="E37">
        <f>SUM(E32:E36)</f>
        <v>2352.2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85" zoomScaleNormal="85" workbookViewId="0">
      <selection activeCell="B10" sqref="B10:F10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9711.42000000001</v>
      </c>
      <c r="C3" s="19">
        <v>2123.64</v>
      </c>
      <c r="D3" s="19">
        <v>1685.89</v>
      </c>
      <c r="E3" s="19"/>
      <c r="F3" s="19">
        <f t="shared" ref="F3:F10" si="0">SUM(B3:E3)</f>
        <v>13520.95</v>
      </c>
      <c r="G3" s="20">
        <f t="shared" ref="G3:G10" si="1">B3+C3</f>
        <v>11835.06</v>
      </c>
      <c r="I3" t="s">
        <v>9</v>
      </c>
      <c r="J3" s="16">
        <f>F3+F4+F5+F6</f>
        <v>29643.18</v>
      </c>
      <c r="K3" s="21"/>
      <c r="L3" t="s">
        <v>10</v>
      </c>
      <c r="M3" s="16">
        <f>F7+F8+F9</f>
        <v>126320.8</v>
      </c>
      <c r="N3" s="21"/>
    </row>
    <row r="4" spans="1:11">
      <c r="A4" t="s">
        <v>11</v>
      </c>
      <c r="B4" s="19">
        <v>10409.7</v>
      </c>
      <c r="C4" s="19">
        <v>665.42</v>
      </c>
      <c r="D4" s="19">
        <v>1479.95</v>
      </c>
      <c r="E4" s="19"/>
      <c r="F4" s="19">
        <f t="shared" si="0"/>
        <v>12555.07</v>
      </c>
      <c r="G4" s="20">
        <f t="shared" si="1"/>
        <v>11075.12</v>
      </c>
      <c r="K4" s="21"/>
    </row>
    <row r="5" spans="1:11">
      <c r="A5" t="s">
        <v>12</v>
      </c>
      <c r="B5" s="19"/>
      <c r="C5" s="19">
        <v>34.66</v>
      </c>
      <c r="D5" s="19"/>
      <c r="E5" s="19"/>
      <c r="F5" s="19">
        <f t="shared" si="0"/>
        <v>34.66</v>
      </c>
      <c r="G5" s="20">
        <f t="shared" si="1"/>
        <v>34.66</v>
      </c>
      <c r="J5" t="s">
        <v>1</v>
      </c>
      <c r="K5" s="21" t="s">
        <v>6</v>
      </c>
    </row>
    <row r="6" spans="1:11">
      <c r="A6" t="s">
        <v>13</v>
      </c>
      <c r="B6" s="19">
        <v>3532.5</v>
      </c>
      <c r="C6" s="19"/>
      <c r="D6" s="19"/>
      <c r="E6" s="19"/>
      <c r="F6" s="19">
        <f t="shared" si="0"/>
        <v>3532.5</v>
      </c>
      <c r="G6" s="20">
        <f t="shared" si="1"/>
        <v>3532.5</v>
      </c>
      <c r="J6" t="s">
        <v>9</v>
      </c>
      <c r="K6" s="16">
        <f>J3</f>
        <v>29643.18</v>
      </c>
    </row>
    <row r="7" spans="1:11">
      <c r="A7" t="s">
        <v>14</v>
      </c>
      <c r="B7" s="19">
        <v>431.18</v>
      </c>
      <c r="C7" s="19">
        <v>5725.61</v>
      </c>
      <c r="D7" s="19">
        <v>118338.75</v>
      </c>
      <c r="E7" s="19"/>
      <c r="F7" s="19">
        <f t="shared" si="0"/>
        <v>124495.54</v>
      </c>
      <c r="G7" s="20">
        <f t="shared" si="1"/>
        <v>6156.79</v>
      </c>
      <c r="J7" t="s">
        <v>10</v>
      </c>
      <c r="K7" s="16">
        <f>M3</f>
        <v>126320.8</v>
      </c>
    </row>
    <row r="8" spans="1:11">
      <c r="A8" t="s">
        <v>15</v>
      </c>
      <c r="B8" s="19"/>
      <c r="C8" s="19">
        <v>119.77</v>
      </c>
      <c r="D8" s="19">
        <v>991.15</v>
      </c>
      <c r="E8" s="19"/>
      <c r="F8" s="19">
        <f t="shared" si="0"/>
        <v>1110.92</v>
      </c>
      <c r="G8" s="20">
        <f t="shared" si="1"/>
        <v>119.77</v>
      </c>
      <c r="I8" s="17"/>
      <c r="J8" t="s">
        <v>16</v>
      </c>
      <c r="K8" s="19">
        <f>K6+K7</f>
        <v>155963.98</v>
      </c>
    </row>
    <row r="9" spans="1:11">
      <c r="A9" t="s">
        <v>17</v>
      </c>
      <c r="B9" s="19"/>
      <c r="C9" s="19">
        <v>714.34</v>
      </c>
      <c r="D9" s="19"/>
      <c r="E9" s="19"/>
      <c r="F9" s="19">
        <f t="shared" si="0"/>
        <v>714.34</v>
      </c>
      <c r="G9" s="20">
        <f t="shared" si="1"/>
        <v>714.34</v>
      </c>
      <c r="J9" s="22"/>
      <c r="K9" s="22"/>
    </row>
    <row r="10" spans="1:11">
      <c r="A10" t="s">
        <v>16</v>
      </c>
      <c r="B10" s="19">
        <f>SUM(B3:B9)</f>
        <v>24084.8</v>
      </c>
      <c r="C10" s="19">
        <f>SUM(C3:C9)</f>
        <v>9383.44</v>
      </c>
      <c r="D10" s="19">
        <f>SUM(D3:D9)</f>
        <v>122495.74</v>
      </c>
      <c r="E10" s="19">
        <f>SUM(E3:E9)</f>
        <v>0</v>
      </c>
      <c r="F10" s="19">
        <f t="shared" si="0"/>
        <v>155963.98</v>
      </c>
      <c r="G10" s="20">
        <f t="shared" si="1"/>
        <v>33468.24</v>
      </c>
      <c r="J10" s="22"/>
      <c r="K10" s="22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49</v>
      </c>
    </row>
    <row r="17" spans="1:5">
      <c r="A17" t="s">
        <v>14</v>
      </c>
      <c r="D17" t="s">
        <v>14</v>
      </c>
      <c r="E17" s="9">
        <v>6078.5</v>
      </c>
    </row>
    <row r="18" spans="1:5">
      <c r="A18" t="s">
        <v>11</v>
      </c>
      <c r="D18" t="s">
        <v>11</v>
      </c>
      <c r="E18" s="9">
        <v>78</v>
      </c>
    </row>
    <row r="19" spans="1:5">
      <c r="A19" t="s">
        <v>8</v>
      </c>
      <c r="D19" t="s">
        <v>8</v>
      </c>
      <c r="E19" s="9">
        <v>89.5</v>
      </c>
    </row>
    <row r="20" spans="1:5">
      <c r="A20" t="s">
        <v>16</v>
      </c>
      <c r="D20" t="s">
        <v>16</v>
      </c>
      <c r="E20" s="9">
        <f>SUM(E16:E19)</f>
        <v>6295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256576</v>
      </c>
      <c r="D23" t="s">
        <v>17</v>
      </c>
      <c r="E23" s="12">
        <v>90</v>
      </c>
      <c r="F23" s="10"/>
    </row>
    <row r="24" spans="1:5">
      <c r="A24" t="s">
        <v>15</v>
      </c>
      <c r="B24" s="10">
        <v>2138</v>
      </c>
      <c r="D24" t="s">
        <v>15</v>
      </c>
      <c r="E24" s="12">
        <v>32</v>
      </c>
    </row>
    <row r="25" spans="1:5">
      <c r="A25" t="s">
        <v>14</v>
      </c>
      <c r="B25" s="10">
        <v>88258</v>
      </c>
      <c r="D25" t="s">
        <v>14</v>
      </c>
      <c r="E25" s="12">
        <v>426.6</v>
      </c>
    </row>
    <row r="26" spans="1:5">
      <c r="A26" t="s">
        <v>12</v>
      </c>
      <c r="B26" s="10">
        <v>3455</v>
      </c>
      <c r="D26" t="s">
        <v>12</v>
      </c>
      <c r="E26" s="12">
        <v>9</v>
      </c>
    </row>
    <row r="27" spans="1:5">
      <c r="A27" t="s">
        <v>11</v>
      </c>
      <c r="B27" s="10">
        <v>16820</v>
      </c>
      <c r="D27" t="s">
        <v>11</v>
      </c>
      <c r="E27" s="12">
        <v>122.5</v>
      </c>
    </row>
    <row r="28" spans="1:5">
      <c r="A28" t="s">
        <v>8</v>
      </c>
      <c r="B28" s="10">
        <v>44890</v>
      </c>
      <c r="D28" t="s">
        <v>8</v>
      </c>
      <c r="E28" s="12">
        <v>144.5</v>
      </c>
    </row>
    <row r="29" spans="1:5">
      <c r="A29" t="s">
        <v>16</v>
      </c>
      <c r="B29" s="11">
        <f>SUM(B23:B28)</f>
        <v>412137</v>
      </c>
      <c r="D29" t="s">
        <v>16</v>
      </c>
      <c r="E29" s="12">
        <f>SUM(E23:E28)</f>
        <v>824.6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5">
      <c r="A32" t="s">
        <v>17</v>
      </c>
      <c r="B32" s="10">
        <v>0</v>
      </c>
      <c r="D32" t="s">
        <v>17</v>
      </c>
      <c r="E32">
        <v>0</v>
      </c>
    </row>
    <row r="33" spans="1:5">
      <c r="A33" t="s">
        <v>14</v>
      </c>
      <c r="B33" s="10">
        <v>7174</v>
      </c>
      <c r="D33" t="s">
        <v>14</v>
      </c>
      <c r="E33">
        <v>27.5</v>
      </c>
    </row>
    <row r="34" spans="1:5">
      <c r="A34" t="s">
        <v>13</v>
      </c>
      <c r="B34" s="11">
        <v>24601</v>
      </c>
      <c r="D34" t="s">
        <v>13</v>
      </c>
      <c r="E34" s="12">
        <v>565.2</v>
      </c>
    </row>
    <row r="35" spans="1:5">
      <c r="A35" t="s">
        <v>11</v>
      </c>
      <c r="B35" s="10">
        <v>186664</v>
      </c>
      <c r="D35" t="s">
        <v>11</v>
      </c>
      <c r="E35">
        <v>732.6</v>
      </c>
    </row>
    <row r="36" spans="1:5">
      <c r="A36" t="s">
        <v>8</v>
      </c>
      <c r="B36" s="10">
        <v>114036</v>
      </c>
      <c r="D36" t="s">
        <v>8</v>
      </c>
      <c r="E36" s="12">
        <v>521</v>
      </c>
    </row>
    <row r="37" spans="1:5">
      <c r="A37" t="s">
        <v>16</v>
      </c>
      <c r="B37" s="11">
        <f>SUM(B32:B36)</f>
        <v>332475</v>
      </c>
      <c r="D37" t="s">
        <v>16</v>
      </c>
      <c r="E37">
        <f>SUM(E32:E36)</f>
        <v>1846.3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85" zoomScaleNormal="85" topLeftCell="A10" workbookViewId="0">
      <selection activeCell="M32" sqref="M32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5705.62</v>
      </c>
      <c r="C3" s="19">
        <v>1348.96</v>
      </c>
      <c r="D3" s="19">
        <v>1270.48</v>
      </c>
      <c r="E3" s="19"/>
      <c r="F3" s="19">
        <f t="shared" ref="F3:F10" si="0">SUM(B3:E3)</f>
        <v>8325.06</v>
      </c>
      <c r="G3" s="20">
        <f t="shared" ref="G3:G10" si="1">B3+C3</f>
        <v>7054.58</v>
      </c>
      <c r="I3" t="s">
        <v>9</v>
      </c>
      <c r="J3" s="16">
        <f>F3+F4+F5+F6</f>
        <v>20886.755</v>
      </c>
      <c r="K3" s="21"/>
      <c r="L3" t="s">
        <v>10</v>
      </c>
      <c r="M3" s="16">
        <f>F7+F8+F9</f>
        <v>122726.48</v>
      </c>
      <c r="N3" s="21"/>
    </row>
    <row r="4" spans="1:11">
      <c r="A4" t="s">
        <v>11</v>
      </c>
      <c r="B4" s="19">
        <v>7998.1</v>
      </c>
      <c r="C4" s="19">
        <v>695.320000000001</v>
      </c>
      <c r="D4" s="19">
        <v>1148.79</v>
      </c>
      <c r="E4" s="19"/>
      <c r="F4" s="19">
        <f t="shared" si="0"/>
        <v>9842.21</v>
      </c>
      <c r="G4" s="20">
        <f t="shared" si="1"/>
        <v>8693.42</v>
      </c>
      <c r="K4" s="21"/>
    </row>
    <row r="5" spans="1:11">
      <c r="A5" t="s">
        <v>12</v>
      </c>
      <c r="B5" s="19"/>
      <c r="C5" s="19">
        <v>8.86</v>
      </c>
      <c r="D5" s="19"/>
      <c r="E5" s="19"/>
      <c r="F5" s="19">
        <f t="shared" si="0"/>
        <v>8.86</v>
      </c>
      <c r="G5" s="20">
        <f t="shared" si="1"/>
        <v>8.86</v>
      </c>
      <c r="J5" t="s">
        <v>1</v>
      </c>
      <c r="K5" s="21" t="s">
        <v>6</v>
      </c>
    </row>
    <row r="6" spans="1:11">
      <c r="A6" t="s">
        <v>13</v>
      </c>
      <c r="B6" s="19">
        <v>2710.625</v>
      </c>
      <c r="C6" s="19"/>
      <c r="D6" s="19"/>
      <c r="E6" s="19"/>
      <c r="F6" s="19">
        <f t="shared" si="0"/>
        <v>2710.625</v>
      </c>
      <c r="G6" s="20">
        <f t="shared" si="1"/>
        <v>2710.625</v>
      </c>
      <c r="J6" t="s">
        <v>9</v>
      </c>
      <c r="K6" s="16">
        <f>J3</f>
        <v>20886.755</v>
      </c>
    </row>
    <row r="7" spans="1:11">
      <c r="A7" t="s">
        <v>14</v>
      </c>
      <c r="B7" s="19">
        <v>314.73</v>
      </c>
      <c r="C7" s="19">
        <v>3974.27</v>
      </c>
      <c r="D7" s="19">
        <v>115145.92</v>
      </c>
      <c r="E7" s="19"/>
      <c r="F7" s="19">
        <f t="shared" si="0"/>
        <v>119434.92</v>
      </c>
      <c r="G7" s="20">
        <f t="shared" si="1"/>
        <v>4289</v>
      </c>
      <c r="J7" t="s">
        <v>10</v>
      </c>
      <c r="K7" s="16">
        <f>M3</f>
        <v>122726.48</v>
      </c>
    </row>
    <row r="8" spans="1:11">
      <c r="A8" t="s">
        <v>15</v>
      </c>
      <c r="B8" s="19"/>
      <c r="C8" s="19">
        <v>154.28</v>
      </c>
      <c r="D8" s="19">
        <v>729.6</v>
      </c>
      <c r="E8" s="19"/>
      <c r="F8" s="19">
        <f t="shared" si="0"/>
        <v>883.88</v>
      </c>
      <c r="G8" s="20">
        <f t="shared" si="1"/>
        <v>154.28</v>
      </c>
      <c r="I8" s="17"/>
      <c r="J8" t="s">
        <v>16</v>
      </c>
      <c r="K8" s="19">
        <f>K6+K7</f>
        <v>143613.235</v>
      </c>
    </row>
    <row r="9" spans="1:11">
      <c r="A9" t="s">
        <v>17</v>
      </c>
      <c r="B9" s="19"/>
      <c r="C9" s="19">
        <v>2407.68</v>
      </c>
      <c r="D9" s="19"/>
      <c r="E9" s="19"/>
      <c r="F9" s="19">
        <f t="shared" si="0"/>
        <v>2407.68</v>
      </c>
      <c r="G9" s="20">
        <f t="shared" si="1"/>
        <v>2407.68</v>
      </c>
      <c r="J9" s="22"/>
      <c r="K9" s="22"/>
    </row>
    <row r="10" spans="1:11">
      <c r="A10" t="s">
        <v>16</v>
      </c>
      <c r="B10" s="19">
        <f>SUM(B3:B9)</f>
        <v>16729.075</v>
      </c>
      <c r="C10" s="19">
        <f>SUM(C3:C9)</f>
        <v>8589.37</v>
      </c>
      <c r="D10" s="19">
        <f>SUM(D3:D9)</f>
        <v>118294.79</v>
      </c>
      <c r="E10" s="19">
        <f>SUM(E3:E9)</f>
        <v>0</v>
      </c>
      <c r="F10" s="19">
        <f t="shared" si="0"/>
        <v>143613.235</v>
      </c>
      <c r="G10" s="20">
        <f t="shared" si="1"/>
        <v>25318.445</v>
      </c>
      <c r="J10" s="22"/>
      <c r="K10" s="22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37.5</v>
      </c>
    </row>
    <row r="17" spans="1:5">
      <c r="A17" t="s">
        <v>14</v>
      </c>
      <c r="D17" t="s">
        <v>14</v>
      </c>
      <c r="E17" s="9">
        <v>5958</v>
      </c>
    </row>
    <row r="18" spans="1:5">
      <c r="A18" t="s">
        <v>11</v>
      </c>
      <c r="D18" t="s">
        <v>11</v>
      </c>
      <c r="E18" s="9">
        <v>63</v>
      </c>
    </row>
    <row r="19" spans="1:5">
      <c r="A19" t="s">
        <v>8</v>
      </c>
      <c r="D19" t="s">
        <v>8</v>
      </c>
      <c r="E19" s="9">
        <v>68.5</v>
      </c>
    </row>
    <row r="20" spans="1:5">
      <c r="A20" t="s">
        <v>16</v>
      </c>
      <c r="D20" t="s">
        <v>16</v>
      </c>
      <c r="E20" s="9">
        <f>SUM(E16:E19)</f>
        <v>6127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236662</v>
      </c>
      <c r="D23" t="s">
        <v>17</v>
      </c>
      <c r="E23" s="12">
        <v>205</v>
      </c>
      <c r="F23" s="10"/>
    </row>
    <row r="24" spans="1:5">
      <c r="A24" t="s">
        <v>15</v>
      </c>
      <c r="B24" s="10">
        <v>3351</v>
      </c>
      <c r="D24" t="s">
        <v>15</v>
      </c>
      <c r="E24" s="12">
        <v>42</v>
      </c>
    </row>
    <row r="25" spans="1:5">
      <c r="A25" t="s">
        <v>14</v>
      </c>
      <c r="B25" s="10">
        <v>57122</v>
      </c>
      <c r="D25" t="s">
        <v>14</v>
      </c>
      <c r="E25" s="12">
        <v>375.4</v>
      </c>
    </row>
    <row r="26" spans="1:5">
      <c r="A26" t="s">
        <v>12</v>
      </c>
      <c r="B26" s="10">
        <v>1043</v>
      </c>
      <c r="D26" t="s">
        <v>12</v>
      </c>
      <c r="E26" s="12">
        <v>5.6</v>
      </c>
    </row>
    <row r="27" spans="1:5">
      <c r="A27" t="s">
        <v>11</v>
      </c>
      <c r="B27" s="10">
        <v>29127</v>
      </c>
      <c r="D27" t="s">
        <v>11</v>
      </c>
      <c r="E27" s="12">
        <v>128.3</v>
      </c>
    </row>
    <row r="28" spans="1:5">
      <c r="A28" t="s">
        <v>8</v>
      </c>
      <c r="B28" s="10">
        <v>21971</v>
      </c>
      <c r="D28" t="s">
        <v>8</v>
      </c>
      <c r="E28" s="12">
        <v>84</v>
      </c>
    </row>
    <row r="29" spans="1:5">
      <c r="A29" t="s">
        <v>16</v>
      </c>
      <c r="B29" s="11">
        <f>SUM(B23:B28)</f>
        <v>349276</v>
      </c>
      <c r="D29" t="s">
        <v>16</v>
      </c>
      <c r="E29" s="12">
        <f>SUM(E23:E28)</f>
        <v>840.3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5">
      <c r="A32" t="s">
        <v>17</v>
      </c>
      <c r="B32" s="10"/>
      <c r="D32" t="s">
        <v>17</v>
      </c>
      <c r="E32">
        <v>0</v>
      </c>
    </row>
    <row r="33" spans="1:5">
      <c r="A33" t="s">
        <v>14</v>
      </c>
      <c r="B33" s="10">
        <v>5095</v>
      </c>
      <c r="D33" t="s">
        <v>14</v>
      </c>
      <c r="E33">
        <v>21.7</v>
      </c>
    </row>
    <row r="34" spans="1:5">
      <c r="A34" t="s">
        <v>13</v>
      </c>
      <c r="B34" s="10">
        <v>15895</v>
      </c>
      <c r="D34" t="s">
        <v>13</v>
      </c>
      <c r="E34">
        <v>433.7</v>
      </c>
    </row>
    <row r="35" spans="1:5">
      <c r="A35" t="s">
        <v>11</v>
      </c>
      <c r="B35" s="10">
        <v>139290</v>
      </c>
      <c r="D35" t="s">
        <v>11</v>
      </c>
      <c r="E35">
        <v>576.7</v>
      </c>
    </row>
    <row r="36" spans="1:5">
      <c r="A36" t="s">
        <v>8</v>
      </c>
      <c r="B36" s="10">
        <v>61874</v>
      </c>
      <c r="D36" t="s">
        <v>8</v>
      </c>
      <c r="E36" s="12">
        <v>382.5</v>
      </c>
    </row>
    <row r="37" spans="1:5">
      <c r="A37" t="s">
        <v>16</v>
      </c>
      <c r="B37" s="11">
        <f>SUM(B32:B36)</f>
        <v>222154</v>
      </c>
      <c r="D37" t="s">
        <v>16</v>
      </c>
      <c r="E37">
        <f>SUM(E32:E36)</f>
        <v>1414.6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85" zoomScaleNormal="85" workbookViewId="0">
      <selection activeCell="E18" sqref="E18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6279.23000000001</v>
      </c>
      <c r="C3" s="19">
        <v>2420.01</v>
      </c>
      <c r="D3" s="19">
        <v>1439.11</v>
      </c>
      <c r="E3" s="19"/>
      <c r="F3" s="19">
        <f t="shared" ref="F3:F10" si="0">SUM(B3:E3)</f>
        <v>10138.35</v>
      </c>
      <c r="G3" s="20">
        <f t="shared" ref="G3:G10" si="1">B3+C3</f>
        <v>8699.24000000001</v>
      </c>
      <c r="I3" t="s">
        <v>9</v>
      </c>
      <c r="J3" s="16">
        <f>F3+F4+F5+F6</f>
        <v>21888.765</v>
      </c>
      <c r="K3" s="21"/>
      <c r="L3" t="s">
        <v>10</v>
      </c>
      <c r="M3" s="16">
        <f>F7+F8+F9</f>
        <v>160123.4</v>
      </c>
      <c r="N3" s="21"/>
    </row>
    <row r="4" spans="1:11">
      <c r="A4" t="s">
        <v>11</v>
      </c>
      <c r="B4" s="19">
        <v>7951.28</v>
      </c>
      <c r="C4" s="19">
        <v>479.26</v>
      </c>
      <c r="D4" s="19">
        <v>618.12</v>
      </c>
      <c r="E4" s="19"/>
      <c r="F4" s="19">
        <f t="shared" si="0"/>
        <v>9048.66</v>
      </c>
      <c r="G4" s="20">
        <f t="shared" si="1"/>
        <v>8430.54</v>
      </c>
      <c r="K4" s="21"/>
    </row>
    <row r="5" spans="1:11">
      <c r="A5" t="s">
        <v>12</v>
      </c>
      <c r="B5" s="19"/>
      <c r="C5" s="19">
        <v>43.63</v>
      </c>
      <c r="D5" s="19"/>
      <c r="E5" s="19"/>
      <c r="F5" s="19">
        <f t="shared" si="0"/>
        <v>43.63</v>
      </c>
      <c r="G5" s="20">
        <f t="shared" si="1"/>
        <v>43.63</v>
      </c>
      <c r="J5" t="s">
        <v>1</v>
      </c>
      <c r="K5" s="21" t="s">
        <v>6</v>
      </c>
    </row>
    <row r="6" spans="1:11">
      <c r="A6" t="s">
        <v>13</v>
      </c>
      <c r="B6" s="19">
        <v>2658.125</v>
      </c>
      <c r="C6" s="19"/>
      <c r="D6" s="19"/>
      <c r="E6" s="19"/>
      <c r="F6" s="19">
        <f t="shared" si="0"/>
        <v>2658.125</v>
      </c>
      <c r="G6" s="20">
        <f t="shared" si="1"/>
        <v>2658.125</v>
      </c>
      <c r="J6" t="s">
        <v>9</v>
      </c>
      <c r="K6" s="16">
        <f>J3</f>
        <v>21888.765</v>
      </c>
    </row>
    <row r="7" spans="1:11">
      <c r="A7" t="s">
        <v>14</v>
      </c>
      <c r="B7" s="19">
        <v>604.74</v>
      </c>
      <c r="C7" s="19">
        <v>4386.88</v>
      </c>
      <c r="D7" s="19">
        <v>150856.8</v>
      </c>
      <c r="E7" s="19"/>
      <c r="F7" s="19">
        <f t="shared" si="0"/>
        <v>155848.42</v>
      </c>
      <c r="G7" s="20">
        <f t="shared" si="1"/>
        <v>4991.62</v>
      </c>
      <c r="J7" t="s">
        <v>10</v>
      </c>
      <c r="K7" s="16">
        <f>M3</f>
        <v>160123.4</v>
      </c>
    </row>
    <row r="8" spans="1:11">
      <c r="A8" t="s">
        <v>15</v>
      </c>
      <c r="B8" s="19"/>
      <c r="C8" s="19">
        <v>133.98</v>
      </c>
      <c r="D8" s="19">
        <v>1072.79</v>
      </c>
      <c r="E8" s="19"/>
      <c r="F8" s="19">
        <f t="shared" si="0"/>
        <v>1206.77</v>
      </c>
      <c r="G8" s="20">
        <f t="shared" si="1"/>
        <v>133.98</v>
      </c>
      <c r="I8" s="17"/>
      <c r="J8" t="s">
        <v>16</v>
      </c>
      <c r="K8" s="19">
        <f>K6+K7</f>
        <v>182012.165</v>
      </c>
    </row>
    <row r="9" spans="1:11">
      <c r="A9" t="s">
        <v>17</v>
      </c>
      <c r="B9" s="19"/>
      <c r="C9" s="19">
        <v>3068.21</v>
      </c>
      <c r="D9" s="19"/>
      <c r="E9" s="19"/>
      <c r="F9" s="19">
        <f t="shared" si="0"/>
        <v>3068.21</v>
      </c>
      <c r="G9" s="20">
        <f t="shared" si="1"/>
        <v>3068.21</v>
      </c>
      <c r="J9" s="22"/>
      <c r="K9" s="22"/>
    </row>
    <row r="10" spans="1:11">
      <c r="A10" t="s">
        <v>16</v>
      </c>
      <c r="B10" s="19">
        <f>SUM(B3:B9)</f>
        <v>17493.375</v>
      </c>
      <c r="C10" s="19">
        <f>SUM(C3:C9)</f>
        <v>10531.97</v>
      </c>
      <c r="D10" s="19">
        <f>SUM(D3:D9)</f>
        <v>153986.82</v>
      </c>
      <c r="E10" s="19">
        <f>SUM(E3:E9)</f>
        <v>0</v>
      </c>
      <c r="F10" s="19">
        <f t="shared" si="0"/>
        <v>182012.165</v>
      </c>
      <c r="G10" s="20">
        <f t="shared" si="1"/>
        <v>28025.345</v>
      </c>
      <c r="J10" s="22"/>
      <c r="K10" s="22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51.5</v>
      </c>
    </row>
    <row r="17" spans="1:5">
      <c r="A17" t="s">
        <v>14</v>
      </c>
      <c r="D17" t="s">
        <v>14</v>
      </c>
      <c r="E17" s="9">
        <v>7869.5</v>
      </c>
    </row>
    <row r="18" spans="1:5">
      <c r="A18" t="s">
        <v>11</v>
      </c>
      <c r="D18" t="s">
        <v>11</v>
      </c>
      <c r="E18" s="9">
        <v>32</v>
      </c>
    </row>
    <row r="19" spans="1:5">
      <c r="A19" t="s">
        <v>8</v>
      </c>
      <c r="D19" t="s">
        <v>8</v>
      </c>
      <c r="E19" s="9">
        <v>76.5</v>
      </c>
    </row>
    <row r="20" spans="1:5">
      <c r="A20" t="s">
        <v>16</v>
      </c>
      <c r="D20" t="s">
        <v>16</v>
      </c>
      <c r="E20" s="9">
        <f>SUM(E16:E19)</f>
        <v>8029.5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271646</v>
      </c>
      <c r="D23" t="s">
        <v>17</v>
      </c>
      <c r="E23" s="12">
        <v>249</v>
      </c>
      <c r="F23" s="10"/>
    </row>
    <row r="24" spans="1:5">
      <c r="A24" t="s">
        <v>15</v>
      </c>
      <c r="B24" s="10">
        <v>2391</v>
      </c>
      <c r="D24" t="s">
        <v>15</v>
      </c>
      <c r="E24" s="12">
        <v>34</v>
      </c>
    </row>
    <row r="25" spans="1:5">
      <c r="A25" t="s">
        <v>14</v>
      </c>
      <c r="B25" s="10">
        <v>65277</v>
      </c>
      <c r="D25" t="s">
        <v>14</v>
      </c>
      <c r="E25" s="12">
        <v>451.1</v>
      </c>
    </row>
    <row r="26" spans="1:5">
      <c r="A26" t="s">
        <v>12</v>
      </c>
      <c r="B26" s="10">
        <v>4745</v>
      </c>
      <c r="D26" t="s">
        <v>12</v>
      </c>
      <c r="E26" s="12">
        <v>15.4</v>
      </c>
    </row>
    <row r="27" spans="1:5">
      <c r="A27" t="s">
        <v>11</v>
      </c>
      <c r="B27" s="10">
        <v>25164</v>
      </c>
      <c r="D27" t="s">
        <v>11</v>
      </c>
      <c r="E27" s="12">
        <v>71</v>
      </c>
    </row>
    <row r="28" spans="1:5">
      <c r="A28" t="s">
        <v>8</v>
      </c>
      <c r="B28" s="10">
        <v>44470</v>
      </c>
      <c r="D28" t="s">
        <v>8</v>
      </c>
      <c r="E28" s="12">
        <v>151.3</v>
      </c>
    </row>
    <row r="29" spans="1:5">
      <c r="A29" t="s">
        <v>16</v>
      </c>
      <c r="B29" s="11">
        <f>SUM(B23:B28)</f>
        <v>413693</v>
      </c>
      <c r="D29" t="s">
        <v>16</v>
      </c>
      <c r="E29" s="12">
        <f>SUM(E23:E28)</f>
        <v>971.8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5742</v>
      </c>
      <c r="D33" t="s">
        <v>14</v>
      </c>
      <c r="E33">
        <v>53</v>
      </c>
    </row>
    <row r="34" spans="1:5">
      <c r="A34" t="s">
        <v>13</v>
      </c>
      <c r="B34" s="10">
        <v>16549</v>
      </c>
      <c r="D34" t="s">
        <v>13</v>
      </c>
      <c r="E34">
        <v>425.3</v>
      </c>
    </row>
    <row r="35" spans="1:5">
      <c r="A35" t="s">
        <v>11</v>
      </c>
      <c r="B35" s="10">
        <v>87980</v>
      </c>
      <c r="D35" t="s">
        <v>11</v>
      </c>
      <c r="E35">
        <v>594.4</v>
      </c>
    </row>
    <row r="36" spans="1:5">
      <c r="A36" t="s">
        <v>8</v>
      </c>
      <c r="B36" s="10">
        <v>72029</v>
      </c>
      <c r="D36" t="s">
        <v>8</v>
      </c>
      <c r="E36" s="12">
        <v>388</v>
      </c>
    </row>
    <row r="37" spans="1:5">
      <c r="A37" t="s">
        <v>16</v>
      </c>
      <c r="B37" s="11">
        <f>SUM(B32:B36)</f>
        <v>182300</v>
      </c>
      <c r="D37" t="s">
        <v>16</v>
      </c>
      <c r="E37">
        <f>SUM(E32:E36)</f>
        <v>1460.7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45" zoomScaleNormal="145" workbookViewId="0">
      <selection activeCell="H27" sqref="H2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">
      <c r="A1" t="s">
        <v>0</v>
      </c>
    </row>
    <row r="2" spans="1:13">
      <c r="A2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t="s">
        <v>6</v>
      </c>
      <c r="G2" s="18" t="s">
        <v>7</v>
      </c>
      <c r="I2" t="s">
        <v>1</v>
      </c>
      <c r="J2" t="s">
        <v>6</v>
      </c>
      <c r="L2" t="s">
        <v>1</v>
      </c>
      <c r="M2" t="s">
        <v>6</v>
      </c>
    </row>
    <row r="3" spans="1:14">
      <c r="A3" t="s">
        <v>8</v>
      </c>
      <c r="B3" s="19">
        <v>6433.92</v>
      </c>
      <c r="C3" s="19">
        <v>1916.68</v>
      </c>
      <c r="D3" s="19">
        <v>1620.6</v>
      </c>
      <c r="E3" s="19"/>
      <c r="F3" s="19">
        <f t="shared" ref="F3:F10" si="0">SUM(B3:E3)</f>
        <v>9971.2</v>
      </c>
      <c r="G3" s="20">
        <f t="shared" ref="G3:G10" si="1">B3+C3</f>
        <v>8350.6</v>
      </c>
      <c r="I3" t="s">
        <v>9</v>
      </c>
      <c r="J3" s="16">
        <f>F3+F4+F5+F6</f>
        <v>24391.365</v>
      </c>
      <c r="K3" s="21"/>
      <c r="L3" t="s">
        <v>10</v>
      </c>
      <c r="M3" s="16">
        <f>F7+F8+F9</f>
        <v>34931.06</v>
      </c>
      <c r="N3" s="21"/>
    </row>
    <row r="4" spans="1:11">
      <c r="A4" t="s">
        <v>11</v>
      </c>
      <c r="B4" s="19">
        <v>9990.21000000001</v>
      </c>
      <c r="C4" s="19">
        <v>218.8</v>
      </c>
      <c r="D4" s="19">
        <v>697.67</v>
      </c>
      <c r="E4" s="19"/>
      <c r="F4" s="19">
        <f t="shared" si="0"/>
        <v>10906.68</v>
      </c>
      <c r="G4" s="20">
        <f t="shared" si="1"/>
        <v>10209.01</v>
      </c>
      <c r="K4" s="21"/>
    </row>
    <row r="5" spans="1:11">
      <c r="A5" t="s">
        <v>12</v>
      </c>
      <c r="B5" s="19"/>
      <c r="C5" s="19">
        <v>9.11</v>
      </c>
      <c r="D5" s="19"/>
      <c r="E5" s="19"/>
      <c r="F5" s="19">
        <f t="shared" si="0"/>
        <v>9.11</v>
      </c>
      <c r="G5" s="20">
        <f t="shared" si="1"/>
        <v>9.11</v>
      </c>
      <c r="J5" t="s">
        <v>1</v>
      </c>
      <c r="K5" s="21" t="s">
        <v>6</v>
      </c>
    </row>
    <row r="6" spans="1:11">
      <c r="A6" t="s">
        <v>13</v>
      </c>
      <c r="B6" s="19">
        <v>3504.375</v>
      </c>
      <c r="C6" s="19"/>
      <c r="D6" s="19"/>
      <c r="E6" s="19"/>
      <c r="F6" s="19">
        <f t="shared" si="0"/>
        <v>3504.375</v>
      </c>
      <c r="G6" s="20">
        <f t="shared" si="1"/>
        <v>3504.375</v>
      </c>
      <c r="J6" t="s">
        <v>9</v>
      </c>
      <c r="K6" s="16">
        <f>J3</f>
        <v>24391.365</v>
      </c>
    </row>
    <row r="7" spans="1:11">
      <c r="A7" t="s">
        <v>14</v>
      </c>
      <c r="B7" s="19">
        <v>386.58</v>
      </c>
      <c r="C7" s="19">
        <v>2862.61</v>
      </c>
      <c r="D7" s="19">
        <v>29766.09</v>
      </c>
      <c r="E7" s="19"/>
      <c r="F7" s="19">
        <f t="shared" si="0"/>
        <v>33015.28</v>
      </c>
      <c r="G7" s="20">
        <f t="shared" si="1"/>
        <v>3249.19</v>
      </c>
      <c r="J7" t="s">
        <v>10</v>
      </c>
      <c r="K7" s="16">
        <f>M3</f>
        <v>34931.06</v>
      </c>
    </row>
    <row r="8" spans="1:11">
      <c r="A8" t="s">
        <v>15</v>
      </c>
      <c r="B8" s="19"/>
      <c r="C8" s="19">
        <v>95.41</v>
      </c>
      <c r="D8" s="19">
        <v>627.15</v>
      </c>
      <c r="E8" s="19"/>
      <c r="F8" s="19">
        <f t="shared" si="0"/>
        <v>722.56</v>
      </c>
      <c r="G8" s="20">
        <f t="shared" si="1"/>
        <v>95.41</v>
      </c>
      <c r="I8" s="17"/>
      <c r="J8" t="s">
        <v>16</v>
      </c>
      <c r="K8" s="19">
        <f>K6+K7</f>
        <v>59322.425</v>
      </c>
    </row>
    <row r="9" spans="1:11">
      <c r="A9" t="s">
        <v>17</v>
      </c>
      <c r="B9" s="19"/>
      <c r="C9" s="19">
        <v>1193.22</v>
      </c>
      <c r="D9" s="19"/>
      <c r="E9" s="19"/>
      <c r="F9" s="19">
        <f t="shared" si="0"/>
        <v>1193.22</v>
      </c>
      <c r="G9" s="20">
        <f t="shared" si="1"/>
        <v>1193.22</v>
      </c>
      <c r="J9" s="22"/>
      <c r="K9" s="22"/>
    </row>
    <row r="10" spans="1:11">
      <c r="A10" t="s">
        <v>16</v>
      </c>
      <c r="B10" s="19">
        <f>SUM(B3:B9)</f>
        <v>20315.085</v>
      </c>
      <c r="C10" s="19">
        <f>SUM(C3:C9)</f>
        <v>6295.83</v>
      </c>
      <c r="D10" s="19">
        <f>SUM(D3:D9)</f>
        <v>32711.51</v>
      </c>
      <c r="E10" s="19">
        <f>SUM(E3:E9)</f>
        <v>0</v>
      </c>
      <c r="F10" s="19">
        <f t="shared" si="0"/>
        <v>59322.425</v>
      </c>
      <c r="G10" s="20">
        <f t="shared" si="1"/>
        <v>26610.915</v>
      </c>
      <c r="J10" s="22"/>
      <c r="K10" s="22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31.5</v>
      </c>
    </row>
    <row r="17" spans="1:5">
      <c r="A17" t="s">
        <v>14</v>
      </c>
      <c r="D17" t="s">
        <v>14</v>
      </c>
      <c r="E17" s="9">
        <v>1566</v>
      </c>
    </row>
    <row r="18" spans="1:5">
      <c r="A18" t="s">
        <v>11</v>
      </c>
      <c r="D18" t="s">
        <v>11</v>
      </c>
      <c r="E18" s="9">
        <v>41</v>
      </c>
    </row>
    <row r="19" spans="1:5">
      <c r="A19" t="s">
        <v>8</v>
      </c>
      <c r="D19" t="s">
        <v>8</v>
      </c>
      <c r="E19" s="9">
        <v>89.5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1728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91041</v>
      </c>
      <c r="D23" t="s">
        <v>17</v>
      </c>
      <c r="E23" s="12">
        <v>154.5</v>
      </c>
      <c r="F23" s="10"/>
    </row>
    <row r="24" spans="1:5">
      <c r="A24" t="s">
        <v>15</v>
      </c>
      <c r="B24" s="10">
        <v>2581</v>
      </c>
      <c r="D24" t="s">
        <v>15</v>
      </c>
      <c r="E24" s="12">
        <v>24</v>
      </c>
    </row>
    <row r="25" spans="1:5">
      <c r="A25" t="s">
        <v>14</v>
      </c>
      <c r="B25" s="10">
        <v>41551</v>
      </c>
      <c r="D25" t="s">
        <v>14</v>
      </c>
      <c r="E25" s="12">
        <v>285.5</v>
      </c>
    </row>
    <row r="26" spans="1:5">
      <c r="A26" t="s">
        <v>12</v>
      </c>
      <c r="B26" s="10">
        <v>1398</v>
      </c>
      <c r="D26" t="s">
        <v>12</v>
      </c>
      <c r="E26" s="12">
        <v>4.8</v>
      </c>
    </row>
    <row r="27" spans="1:5">
      <c r="A27" t="s">
        <v>11</v>
      </c>
      <c r="B27" s="10">
        <v>7004</v>
      </c>
      <c r="D27" t="s">
        <v>11</v>
      </c>
      <c r="E27" s="12">
        <v>50.7</v>
      </c>
    </row>
    <row r="28" spans="1:5">
      <c r="A28" t="s">
        <v>8</v>
      </c>
      <c r="B28" s="10">
        <v>63182</v>
      </c>
      <c r="D28" t="s">
        <v>8</v>
      </c>
      <c r="E28" s="12">
        <v>200.4</v>
      </c>
    </row>
    <row r="29" spans="1:5">
      <c r="A29" t="s">
        <v>16</v>
      </c>
      <c r="B29" s="11">
        <f>SUM(B23:B28)</f>
        <v>206757</v>
      </c>
      <c r="D29" t="s">
        <v>16</v>
      </c>
      <c r="E29" s="12">
        <f>SUM(E23:E28)</f>
        <v>719.9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3836</v>
      </c>
      <c r="D33" t="s">
        <v>14</v>
      </c>
      <c r="E33">
        <v>30</v>
      </c>
    </row>
    <row r="34" spans="1:5">
      <c r="A34" t="s">
        <v>13</v>
      </c>
      <c r="B34" s="10">
        <v>26293</v>
      </c>
      <c r="D34" t="s">
        <v>13</v>
      </c>
      <c r="E34">
        <v>560.7</v>
      </c>
    </row>
    <row r="35" spans="1:5">
      <c r="A35" t="s">
        <v>11</v>
      </c>
      <c r="B35" s="10">
        <v>120521</v>
      </c>
      <c r="D35" t="s">
        <v>11</v>
      </c>
      <c r="E35">
        <v>778.9</v>
      </c>
    </row>
    <row r="36" spans="1:5">
      <c r="A36" t="s">
        <v>8</v>
      </c>
      <c r="B36" s="10">
        <v>60089</v>
      </c>
      <c r="D36" t="s">
        <v>8</v>
      </c>
      <c r="E36" s="12">
        <v>453</v>
      </c>
    </row>
    <row r="37" spans="1:5">
      <c r="A37" t="s">
        <v>16</v>
      </c>
      <c r="B37" s="11">
        <f>SUM(B32:B36)</f>
        <v>210739</v>
      </c>
      <c r="D37" t="s">
        <v>16</v>
      </c>
      <c r="E37">
        <f>SUM(E32:E36)</f>
        <v>1822.6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60" zoomScaleNormal="160" workbookViewId="0">
      <selection activeCell="A1" sqref="A1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2906.16</v>
      </c>
      <c r="C3" s="7">
        <v>5096.01</v>
      </c>
      <c r="D3" s="7">
        <v>1726.99</v>
      </c>
      <c r="E3" s="7"/>
      <c r="F3" s="7">
        <f t="shared" ref="F3:F10" si="0">SUM(B3:E3)</f>
        <v>9729.16</v>
      </c>
      <c r="G3" s="6">
        <f t="shared" ref="G3:G10" si="1">B3+C3</f>
        <v>8002.17</v>
      </c>
      <c r="H3" s="1"/>
      <c r="I3" s="1" t="s">
        <v>9</v>
      </c>
      <c r="J3" s="13">
        <f>F3+F4+F5+F6</f>
        <v>24060.985</v>
      </c>
      <c r="K3" s="14"/>
      <c r="L3" s="1" t="s">
        <v>10</v>
      </c>
      <c r="M3" s="13">
        <f>F7+F8+F9</f>
        <v>31290.9199999999</v>
      </c>
      <c r="N3" s="14"/>
    </row>
    <row r="4" spans="1:14">
      <c r="A4" s="1" t="s">
        <v>11</v>
      </c>
      <c r="B4" s="7">
        <v>746.18</v>
      </c>
      <c r="C4" s="7">
        <v>9945.19000000001</v>
      </c>
      <c r="D4" s="7">
        <v>462.42</v>
      </c>
      <c r="E4" s="7"/>
      <c r="F4" s="7">
        <f t="shared" si="0"/>
        <v>11153.79</v>
      </c>
      <c r="G4" s="6">
        <f t="shared" si="1"/>
        <v>10691.37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>
        <v>1.16</v>
      </c>
      <c r="C5" s="7">
        <v>3176.875</v>
      </c>
      <c r="D5" s="7"/>
      <c r="E5" s="7"/>
      <c r="F5" s="7">
        <f t="shared" si="0"/>
        <v>3178.035</v>
      </c>
      <c r="G5" s="6">
        <f t="shared" si="1"/>
        <v>3178.035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/>
      <c r="C6" s="7"/>
      <c r="D6" s="7"/>
      <c r="E6" s="7"/>
      <c r="F6" s="7">
        <f t="shared" si="0"/>
        <v>0</v>
      </c>
      <c r="G6" s="6">
        <f t="shared" si="1"/>
        <v>0</v>
      </c>
      <c r="H6" s="1"/>
      <c r="I6" s="1"/>
      <c r="J6" s="1" t="s">
        <v>9</v>
      </c>
      <c r="K6" s="13">
        <f>J3</f>
        <v>24060.985</v>
      </c>
      <c r="L6" s="1"/>
      <c r="M6" s="1"/>
      <c r="N6" s="1"/>
    </row>
    <row r="7" spans="1:14">
      <c r="A7" s="1" t="s">
        <v>14</v>
      </c>
      <c r="B7" s="7">
        <v>2901.84</v>
      </c>
      <c r="C7" s="7">
        <v>257.74</v>
      </c>
      <c r="D7" s="7">
        <v>26792.1799999999</v>
      </c>
      <c r="E7" s="7"/>
      <c r="F7" s="7">
        <f t="shared" si="0"/>
        <v>29951.7599999999</v>
      </c>
      <c r="G7" s="6">
        <f t="shared" si="1"/>
        <v>3159.58</v>
      </c>
      <c r="H7" s="1"/>
      <c r="I7" s="1"/>
      <c r="J7" s="1" t="s">
        <v>10</v>
      </c>
      <c r="K7" s="13">
        <f>M3</f>
        <v>31290.9199999999</v>
      </c>
      <c r="L7" s="1"/>
      <c r="M7" s="1"/>
      <c r="N7" s="1"/>
    </row>
    <row r="8" spans="1:14">
      <c r="A8" s="1" t="s">
        <v>15</v>
      </c>
      <c r="B8" s="7">
        <v>73.08</v>
      </c>
      <c r="C8" s="7"/>
      <c r="D8" s="7">
        <v>497.97</v>
      </c>
      <c r="E8" s="7"/>
      <c r="F8" s="7">
        <f t="shared" si="0"/>
        <v>571.05</v>
      </c>
      <c r="G8" s="6">
        <f t="shared" si="1"/>
        <v>73.08</v>
      </c>
      <c r="H8" s="1"/>
      <c r="I8" s="2"/>
      <c r="J8" s="1" t="s">
        <v>16</v>
      </c>
      <c r="K8" s="7">
        <f>K6+K7</f>
        <v>55351.9049999999</v>
      </c>
      <c r="L8" s="1"/>
      <c r="M8" s="1"/>
      <c r="N8" s="1"/>
    </row>
    <row r="9" spans="1:14">
      <c r="A9" s="1" t="s">
        <v>17</v>
      </c>
      <c r="B9" s="7">
        <v>768.11</v>
      </c>
      <c r="C9" s="7"/>
      <c r="D9" s="7"/>
      <c r="E9" s="7"/>
      <c r="F9" s="7">
        <f t="shared" si="0"/>
        <v>768.11</v>
      </c>
      <c r="G9" s="6">
        <f t="shared" si="1"/>
        <v>768.11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7396.53</v>
      </c>
      <c r="C10" s="7">
        <f>SUM(C3:C9)</f>
        <v>18475.815</v>
      </c>
      <c r="D10" s="7">
        <f>SUM(D3:D9)</f>
        <v>29479.5599999999</v>
      </c>
      <c r="E10" s="7">
        <f>SUM(E3:E9)</f>
        <v>0</v>
      </c>
      <c r="F10" s="7">
        <f t="shared" si="0"/>
        <v>55351.9049999999</v>
      </c>
      <c r="G10" s="6">
        <f t="shared" si="1"/>
        <v>25872.345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27.5</v>
      </c>
    </row>
    <row r="17" spans="1:5">
      <c r="A17" t="s">
        <v>14</v>
      </c>
      <c r="D17" t="s">
        <v>14</v>
      </c>
      <c r="E17" s="9">
        <v>1391</v>
      </c>
    </row>
    <row r="18" spans="1:5">
      <c r="A18" t="s">
        <v>11</v>
      </c>
      <c r="D18" t="s">
        <v>11</v>
      </c>
      <c r="E18" s="9">
        <v>24</v>
      </c>
    </row>
    <row r="19" spans="1:5">
      <c r="A19" t="s">
        <v>8</v>
      </c>
      <c r="D19" t="s">
        <v>8</v>
      </c>
      <c r="E19" s="9">
        <v>92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1534.5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55267</v>
      </c>
      <c r="D23" t="s">
        <v>17</v>
      </c>
      <c r="E23" s="12">
        <v>104</v>
      </c>
      <c r="F23" s="10"/>
    </row>
    <row r="24" spans="1:5">
      <c r="A24" t="s">
        <v>15</v>
      </c>
      <c r="B24" s="10">
        <v>1586</v>
      </c>
      <c r="D24" t="s">
        <v>15</v>
      </c>
      <c r="E24" s="12">
        <v>19</v>
      </c>
    </row>
    <row r="25" spans="1:5">
      <c r="A25" t="s">
        <v>14</v>
      </c>
      <c r="B25" s="10">
        <v>42665</v>
      </c>
      <c r="D25" t="s">
        <v>14</v>
      </c>
      <c r="E25" s="12">
        <v>302.4</v>
      </c>
    </row>
    <row r="26" spans="1:5">
      <c r="A26" t="s">
        <v>12</v>
      </c>
      <c r="B26" s="10">
        <v>150</v>
      </c>
      <c r="D26" t="s">
        <v>12</v>
      </c>
      <c r="E26" s="12">
        <v>0.3</v>
      </c>
    </row>
    <row r="27" spans="1:5">
      <c r="A27" t="s">
        <v>11</v>
      </c>
      <c r="B27" s="10">
        <v>28242</v>
      </c>
      <c r="D27" t="s">
        <v>11</v>
      </c>
      <c r="E27" s="12">
        <v>119.5</v>
      </c>
    </row>
    <row r="28" spans="1:5">
      <c r="A28" t="s">
        <v>8</v>
      </c>
      <c r="B28" s="10">
        <v>57253</v>
      </c>
      <c r="D28" t="s">
        <v>8</v>
      </c>
      <c r="E28" s="12">
        <v>178.1</v>
      </c>
    </row>
    <row r="29" spans="1:5">
      <c r="A29" t="s">
        <v>16</v>
      </c>
      <c r="B29" s="11">
        <f>SUM(B23:B28)</f>
        <v>185163</v>
      </c>
      <c r="D29" t="s">
        <v>16</v>
      </c>
      <c r="E29" s="12">
        <f>SUM(E23:E28)</f>
        <v>723.3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2781</v>
      </c>
      <c r="D33" t="s">
        <v>14</v>
      </c>
      <c r="E33">
        <v>20.5</v>
      </c>
    </row>
    <row r="34" spans="1:5">
      <c r="A34" t="s">
        <v>13</v>
      </c>
      <c r="B34" s="10">
        <v>25726</v>
      </c>
      <c r="D34" t="s">
        <v>13</v>
      </c>
      <c r="E34">
        <v>508.3</v>
      </c>
    </row>
    <row r="35" spans="1:5">
      <c r="A35" t="s">
        <v>11</v>
      </c>
      <c r="B35" s="10">
        <v>114718</v>
      </c>
      <c r="D35" t="s">
        <v>11</v>
      </c>
      <c r="E35">
        <v>745.4</v>
      </c>
    </row>
    <row r="36" spans="1:5">
      <c r="A36" t="s">
        <v>8</v>
      </c>
      <c r="B36" s="10">
        <v>31627</v>
      </c>
      <c r="D36" t="s">
        <v>8</v>
      </c>
      <c r="E36" s="12">
        <v>724.5</v>
      </c>
    </row>
    <row r="37" spans="1:5">
      <c r="A37" t="s">
        <v>16</v>
      </c>
      <c r="B37" s="11">
        <f>SUM(B32:B36)</f>
        <v>174852</v>
      </c>
      <c r="D37" t="s">
        <v>16</v>
      </c>
      <c r="E37">
        <f>SUM(E32:E36)</f>
        <v>1998.7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F19" sqref="F19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1256.54</v>
      </c>
      <c r="C3" s="7">
        <v>1245.89</v>
      </c>
      <c r="D3" s="7">
        <v>1509.73</v>
      </c>
      <c r="E3" s="7"/>
      <c r="F3" s="7">
        <f t="shared" ref="F3:F10" si="0">SUM(B3:E3)</f>
        <v>4012.16</v>
      </c>
      <c r="G3" s="6">
        <f t="shared" ref="G3:G10" si="1">B3+C3</f>
        <v>2502.43</v>
      </c>
      <c r="H3" s="1"/>
      <c r="I3" s="1" t="s">
        <v>9</v>
      </c>
      <c r="J3" s="13">
        <f>F3+F4+F5+F6</f>
        <v>20066.665</v>
      </c>
      <c r="K3" s="14"/>
      <c r="L3" s="1" t="s">
        <v>10</v>
      </c>
      <c r="M3" s="13">
        <f>F7+F8+F9</f>
        <v>24812.31</v>
      </c>
      <c r="N3" s="14"/>
    </row>
    <row r="4" spans="1:14">
      <c r="A4" s="1" t="s">
        <v>11</v>
      </c>
      <c r="B4" s="7">
        <v>10346.9</v>
      </c>
      <c r="C4" s="7">
        <v>1917.91</v>
      </c>
      <c r="D4" s="7">
        <v>366.17</v>
      </c>
      <c r="E4" s="7"/>
      <c r="F4" s="7">
        <f t="shared" si="0"/>
        <v>12630.98</v>
      </c>
      <c r="G4" s="6">
        <f t="shared" si="1"/>
        <v>12264.81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/>
      <c r="C5" s="7">
        <v>15.4</v>
      </c>
      <c r="D5" s="7"/>
      <c r="E5" s="7"/>
      <c r="F5" s="7">
        <f t="shared" si="0"/>
        <v>15.4</v>
      </c>
      <c r="G5" s="6">
        <f t="shared" si="1"/>
        <v>15.4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3408.125</v>
      </c>
      <c r="C6" s="7"/>
      <c r="D6" s="7"/>
      <c r="E6" s="7"/>
      <c r="F6" s="7">
        <f t="shared" si="0"/>
        <v>3408.125</v>
      </c>
      <c r="G6" s="6">
        <f t="shared" si="1"/>
        <v>3408.125</v>
      </c>
      <c r="H6" s="1"/>
      <c r="I6" s="1"/>
      <c r="J6" s="1" t="s">
        <v>9</v>
      </c>
      <c r="K6" s="13">
        <f>J3</f>
        <v>20066.665</v>
      </c>
      <c r="L6" s="1"/>
      <c r="M6" s="1"/>
      <c r="N6" s="1"/>
    </row>
    <row r="7" spans="1:14">
      <c r="A7" s="1" t="s">
        <v>14</v>
      </c>
      <c r="B7" s="7">
        <v>219.2</v>
      </c>
      <c r="C7" s="7">
        <v>2708.62</v>
      </c>
      <c r="D7" s="7">
        <v>19262.79</v>
      </c>
      <c r="E7" s="7"/>
      <c r="F7" s="7">
        <f t="shared" si="0"/>
        <v>22190.61</v>
      </c>
      <c r="G7" s="6">
        <f t="shared" si="1"/>
        <v>2927.82</v>
      </c>
      <c r="H7" s="1"/>
      <c r="I7" s="1"/>
      <c r="J7" s="1" t="s">
        <v>10</v>
      </c>
      <c r="K7" s="13">
        <f>M3</f>
        <v>24812.31</v>
      </c>
      <c r="L7" s="1"/>
      <c r="M7" s="1"/>
      <c r="N7" s="1"/>
    </row>
    <row r="8" spans="1:14">
      <c r="A8" s="1" t="s">
        <v>15</v>
      </c>
      <c r="B8" s="7"/>
      <c r="C8" s="7">
        <v>152.25</v>
      </c>
      <c r="D8" s="7">
        <v>526.44</v>
      </c>
      <c r="E8" s="7"/>
      <c r="F8" s="7">
        <f t="shared" si="0"/>
        <v>678.69</v>
      </c>
      <c r="G8" s="6">
        <f t="shared" si="1"/>
        <v>152.25</v>
      </c>
      <c r="H8" s="1"/>
      <c r="I8" s="2"/>
      <c r="J8" s="1" t="s">
        <v>16</v>
      </c>
      <c r="K8" s="7">
        <f>K6+K7</f>
        <v>44878.975</v>
      </c>
      <c r="L8" s="1"/>
      <c r="M8" s="1"/>
      <c r="N8" s="1"/>
    </row>
    <row r="9" spans="1:14">
      <c r="A9" s="1" t="s">
        <v>17</v>
      </c>
      <c r="B9" s="7"/>
      <c r="C9" s="7">
        <v>1943.01</v>
      </c>
      <c r="D9" s="7"/>
      <c r="E9" s="7"/>
      <c r="F9" s="7">
        <f t="shared" si="0"/>
        <v>1943.01</v>
      </c>
      <c r="G9" s="6">
        <f t="shared" si="1"/>
        <v>1943.01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15230.765</v>
      </c>
      <c r="C10" s="7">
        <f>SUM(C3:C9)</f>
        <v>7983.08</v>
      </c>
      <c r="D10" s="7">
        <f>SUM(D3:D9)</f>
        <v>21665.13</v>
      </c>
      <c r="E10" s="7">
        <f>SUM(E3:E9)</f>
        <v>0</v>
      </c>
      <c r="F10" s="7">
        <f t="shared" si="0"/>
        <v>44878.975</v>
      </c>
      <c r="G10" s="6">
        <f t="shared" si="1"/>
        <v>23213.845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28</v>
      </c>
    </row>
    <row r="17" spans="1:5">
      <c r="A17" t="s">
        <v>14</v>
      </c>
      <c r="D17" t="s">
        <v>14</v>
      </c>
      <c r="E17" s="9">
        <v>1016.5</v>
      </c>
    </row>
    <row r="18" spans="1:5">
      <c r="A18" t="s">
        <v>11</v>
      </c>
      <c r="D18" t="s">
        <v>11</v>
      </c>
      <c r="E18" s="9">
        <v>18.5</v>
      </c>
    </row>
    <row r="19" spans="1:5">
      <c r="A19" t="s">
        <v>8</v>
      </c>
      <c r="D19" t="s">
        <v>8</v>
      </c>
      <c r="E19" s="9">
        <v>86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1149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71373</v>
      </c>
      <c r="D23" t="s">
        <v>17</v>
      </c>
      <c r="E23" s="12">
        <v>122</v>
      </c>
      <c r="F23" s="10"/>
    </row>
    <row r="24" spans="1:5">
      <c r="A24" t="s">
        <v>15</v>
      </c>
      <c r="B24" s="10">
        <v>3550</v>
      </c>
      <c r="D24" t="s">
        <v>15</v>
      </c>
      <c r="E24" s="12">
        <v>40</v>
      </c>
    </row>
    <row r="25" spans="1:5">
      <c r="A25" t="s">
        <v>14</v>
      </c>
      <c r="B25" s="10">
        <v>42595</v>
      </c>
      <c r="D25" t="s">
        <v>14</v>
      </c>
      <c r="E25" s="12">
        <v>282.2</v>
      </c>
    </row>
    <row r="26" spans="1:5">
      <c r="A26" t="s">
        <v>12</v>
      </c>
      <c r="B26" s="10">
        <v>1196</v>
      </c>
      <c r="D26" t="s">
        <v>12</v>
      </c>
      <c r="E26" s="12">
        <v>6</v>
      </c>
    </row>
    <row r="27" spans="1:5">
      <c r="A27" t="s">
        <v>11</v>
      </c>
      <c r="B27" s="10">
        <v>37276</v>
      </c>
      <c r="D27" t="s">
        <v>11</v>
      </c>
      <c r="E27" s="12">
        <v>200.1</v>
      </c>
    </row>
    <row r="28" spans="1:5">
      <c r="A28" t="s">
        <v>8</v>
      </c>
      <c r="B28" s="10">
        <v>42178</v>
      </c>
      <c r="D28" t="s">
        <v>8</v>
      </c>
      <c r="E28" s="12">
        <v>129.1</v>
      </c>
    </row>
    <row r="29" spans="1:5">
      <c r="A29" t="s">
        <v>16</v>
      </c>
      <c r="B29" s="11">
        <f>SUM(B23:B28)</f>
        <v>198168</v>
      </c>
      <c r="D29" t="s">
        <v>16</v>
      </c>
      <c r="E29" s="12">
        <f>SUM(E23:E28)</f>
        <v>779.4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1977</v>
      </c>
      <c r="D33" t="s">
        <v>14</v>
      </c>
      <c r="E33">
        <v>14.5</v>
      </c>
    </row>
    <row r="34" spans="1:5">
      <c r="A34" t="s">
        <v>13</v>
      </c>
      <c r="B34" s="10">
        <v>25222</v>
      </c>
      <c r="D34" t="s">
        <v>13</v>
      </c>
      <c r="E34">
        <v>545.3</v>
      </c>
    </row>
    <row r="35" spans="1:5">
      <c r="A35" t="s">
        <v>11</v>
      </c>
      <c r="B35" s="10">
        <v>125322</v>
      </c>
      <c r="D35" t="s">
        <v>11</v>
      </c>
      <c r="E35">
        <v>774.2</v>
      </c>
    </row>
    <row r="36" spans="1:5">
      <c r="A36" t="s">
        <v>8</v>
      </c>
      <c r="B36" s="10">
        <v>10675</v>
      </c>
      <c r="D36" t="s">
        <v>8</v>
      </c>
      <c r="E36" s="12">
        <v>204.5</v>
      </c>
    </row>
    <row r="37" spans="1:5">
      <c r="A37" t="s">
        <v>16</v>
      </c>
      <c r="B37" s="11">
        <f>SUM(B32:B36)</f>
        <v>163196</v>
      </c>
      <c r="D37" t="s">
        <v>16</v>
      </c>
      <c r="E37">
        <f>SUM(E32:E36)</f>
        <v>1538.5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topLeftCell="A17" workbookViewId="0">
      <selection activeCell="F36" sqref="F36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673.6</v>
      </c>
      <c r="C3" s="7">
        <v>5394.90999999998</v>
      </c>
      <c r="D3" s="7">
        <v>1505.94</v>
      </c>
      <c r="E3" s="7"/>
      <c r="F3" s="7">
        <f t="shared" ref="F3:F10" si="0">SUM(B3:E3)</f>
        <v>7574.44999999998</v>
      </c>
      <c r="G3" s="6">
        <f t="shared" ref="G3:G10" si="1">B3+C3</f>
        <v>6068.50999999998</v>
      </c>
      <c r="H3" s="1"/>
      <c r="I3" s="1" t="s">
        <v>9</v>
      </c>
      <c r="J3" s="13">
        <f>F3+F4+F5+F6</f>
        <v>21509.4</v>
      </c>
      <c r="K3" s="14"/>
      <c r="L3" s="1" t="s">
        <v>10</v>
      </c>
      <c r="M3" s="13">
        <f>F7+F8+F9</f>
        <v>9089.82000000001</v>
      </c>
      <c r="N3" s="14"/>
    </row>
    <row r="4" spans="1:14">
      <c r="A4" s="1" t="s">
        <v>11</v>
      </c>
      <c r="B4" s="7">
        <v>10197.94</v>
      </c>
      <c r="C4" s="7">
        <v>234.88</v>
      </c>
      <c r="D4" s="7">
        <v>87.83</v>
      </c>
      <c r="E4" s="7"/>
      <c r="F4" s="7">
        <f t="shared" si="0"/>
        <v>10520.65</v>
      </c>
      <c r="G4" s="6">
        <f t="shared" si="1"/>
        <v>10432.82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/>
      <c r="C5" s="7">
        <v>101.8</v>
      </c>
      <c r="D5" s="7"/>
      <c r="E5" s="7"/>
      <c r="F5" s="7">
        <f t="shared" si="0"/>
        <v>101.8</v>
      </c>
      <c r="G5" s="6">
        <f t="shared" si="1"/>
        <v>101.8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3312.5</v>
      </c>
      <c r="C6" s="7"/>
      <c r="D6" s="7"/>
      <c r="E6" s="7"/>
      <c r="F6" s="7">
        <f t="shared" si="0"/>
        <v>3312.5</v>
      </c>
      <c r="G6" s="6">
        <f t="shared" si="1"/>
        <v>3312.5</v>
      </c>
      <c r="H6" s="1"/>
      <c r="I6" s="1"/>
      <c r="J6" s="1" t="s">
        <v>9</v>
      </c>
      <c r="K6" s="13">
        <f>J3</f>
        <v>21509.4</v>
      </c>
      <c r="L6" s="1"/>
      <c r="M6" s="1"/>
      <c r="N6" s="1"/>
    </row>
    <row r="7" spans="1:14">
      <c r="A7" s="1" t="s">
        <v>14</v>
      </c>
      <c r="B7" s="7">
        <v>349</v>
      </c>
      <c r="C7" s="7">
        <v>475.86</v>
      </c>
      <c r="D7" s="7">
        <v>6745.05000000001</v>
      </c>
      <c r="E7" s="7"/>
      <c r="F7" s="7">
        <f t="shared" si="0"/>
        <v>7569.91000000001</v>
      </c>
      <c r="G7" s="6">
        <f t="shared" si="1"/>
        <v>824.86</v>
      </c>
      <c r="H7" s="1"/>
      <c r="I7" s="1"/>
      <c r="J7" s="1" t="s">
        <v>10</v>
      </c>
      <c r="K7" s="13">
        <f>M3</f>
        <v>9089.82000000001</v>
      </c>
      <c r="L7" s="1"/>
      <c r="M7" s="1"/>
      <c r="N7" s="1"/>
    </row>
    <row r="8" spans="1:14">
      <c r="A8" s="1" t="s">
        <v>15</v>
      </c>
      <c r="B8" s="7"/>
      <c r="C8" s="7">
        <v>93.38</v>
      </c>
      <c r="D8" s="7">
        <v>538.69</v>
      </c>
      <c r="E8" s="7"/>
      <c r="F8" s="7">
        <f t="shared" si="0"/>
        <v>632.07</v>
      </c>
      <c r="G8" s="6">
        <f t="shared" si="1"/>
        <v>93.38</v>
      </c>
      <c r="H8" s="1"/>
      <c r="I8" s="2"/>
      <c r="J8" s="1" t="s">
        <v>16</v>
      </c>
      <c r="K8" s="7">
        <f>K6+K7</f>
        <v>30599.22</v>
      </c>
      <c r="L8" s="1"/>
      <c r="M8" s="1"/>
      <c r="N8" s="1"/>
    </row>
    <row r="9" spans="1:14">
      <c r="A9" s="1" t="s">
        <v>17</v>
      </c>
      <c r="B9" s="7"/>
      <c r="C9" s="7">
        <v>887.84</v>
      </c>
      <c r="D9" s="7"/>
      <c r="E9" s="7"/>
      <c r="F9" s="7">
        <f t="shared" si="0"/>
        <v>887.84</v>
      </c>
      <c r="G9" s="6">
        <f t="shared" si="1"/>
        <v>887.84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14533.04</v>
      </c>
      <c r="C10" s="7">
        <f>SUM(C3:C9)</f>
        <v>7188.66999999998</v>
      </c>
      <c r="D10" s="7">
        <f>SUM(D3:D9)</f>
        <v>8877.51000000001</v>
      </c>
      <c r="E10" s="7">
        <f>SUM(E3:E9)</f>
        <v>0</v>
      </c>
      <c r="F10" s="7">
        <f t="shared" si="0"/>
        <v>30599.22</v>
      </c>
      <c r="G10" s="6">
        <f t="shared" si="1"/>
        <v>21721.71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30.5</v>
      </c>
    </row>
    <row r="17" spans="1:5">
      <c r="A17" t="s">
        <v>14</v>
      </c>
      <c r="D17" t="s">
        <v>14</v>
      </c>
      <c r="E17" s="9">
        <v>383.5</v>
      </c>
    </row>
    <row r="18" spans="1:5">
      <c r="A18" t="s">
        <v>11</v>
      </c>
      <c r="D18" t="s">
        <v>11</v>
      </c>
      <c r="E18" s="9">
        <v>4.5</v>
      </c>
    </row>
    <row r="19" spans="1:5">
      <c r="A19" t="s">
        <v>8</v>
      </c>
      <c r="D19" t="s">
        <v>8</v>
      </c>
      <c r="E19" s="9">
        <v>81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499.5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63212</v>
      </c>
      <c r="D23" t="s">
        <v>17</v>
      </c>
      <c r="E23" s="12">
        <v>112</v>
      </c>
      <c r="F23" s="10"/>
    </row>
    <row r="24" spans="1:5">
      <c r="A24" t="s">
        <v>15</v>
      </c>
      <c r="B24" s="10">
        <v>2664</v>
      </c>
      <c r="D24" t="s">
        <v>15</v>
      </c>
      <c r="E24" s="12">
        <v>26</v>
      </c>
    </row>
    <row r="25" spans="1:5">
      <c r="A25" t="s">
        <v>14</v>
      </c>
      <c r="B25" s="10">
        <v>9683</v>
      </c>
      <c r="D25" t="s">
        <v>14</v>
      </c>
      <c r="E25" s="12">
        <v>69.2</v>
      </c>
    </row>
    <row r="26" spans="1:5">
      <c r="A26" t="s">
        <v>12</v>
      </c>
      <c r="B26" s="10">
        <v>7037</v>
      </c>
      <c r="D26" t="s">
        <v>12</v>
      </c>
      <c r="E26" s="12">
        <v>29.7</v>
      </c>
    </row>
    <row r="27" spans="1:5">
      <c r="A27" t="s">
        <v>11</v>
      </c>
      <c r="B27" s="10">
        <v>7526</v>
      </c>
      <c r="D27" t="s">
        <v>11</v>
      </c>
      <c r="E27" s="12">
        <v>48.1</v>
      </c>
    </row>
    <row r="28" spans="1:5">
      <c r="A28" t="s">
        <v>8</v>
      </c>
      <c r="B28" s="10">
        <v>142231</v>
      </c>
      <c r="D28" t="s">
        <v>8</v>
      </c>
      <c r="E28" s="12">
        <v>300.7</v>
      </c>
    </row>
    <row r="29" spans="1:5">
      <c r="A29" t="s">
        <v>16</v>
      </c>
      <c r="B29" s="11">
        <f>SUM(B23:B28)</f>
        <v>232353</v>
      </c>
      <c r="D29" t="s">
        <v>16</v>
      </c>
      <c r="E29" s="12">
        <f>SUM(E23:E28)</f>
        <v>585.7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3446</v>
      </c>
      <c r="D33" t="s">
        <v>14</v>
      </c>
      <c r="E33">
        <v>25</v>
      </c>
    </row>
    <row r="34" spans="1:5">
      <c r="A34" t="s">
        <v>13</v>
      </c>
      <c r="B34" s="10">
        <v>20764</v>
      </c>
      <c r="D34" t="s">
        <v>13</v>
      </c>
      <c r="E34">
        <v>530</v>
      </c>
    </row>
    <row r="35" spans="1:5">
      <c r="A35" t="s">
        <v>11</v>
      </c>
      <c r="B35" s="10">
        <v>154113</v>
      </c>
      <c r="D35" t="s">
        <v>11</v>
      </c>
      <c r="E35">
        <v>658.8</v>
      </c>
    </row>
    <row r="36" spans="1:5">
      <c r="A36" t="s">
        <v>8</v>
      </c>
      <c r="B36" s="10">
        <v>9329</v>
      </c>
      <c r="D36" t="s">
        <v>8</v>
      </c>
      <c r="E36" s="12">
        <v>170.5</v>
      </c>
    </row>
    <row r="37" spans="1:5">
      <c r="A37" t="s">
        <v>16</v>
      </c>
      <c r="B37" s="11">
        <f>SUM(B32:B36)</f>
        <v>187652</v>
      </c>
      <c r="D37" t="s">
        <v>16</v>
      </c>
      <c r="E37">
        <f>SUM(E32:E36)</f>
        <v>1384.3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G7" sqref="G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4393.18</v>
      </c>
      <c r="C3" s="7">
        <v>1432.39</v>
      </c>
      <c r="D3" s="7">
        <v>2409.17</v>
      </c>
      <c r="E3" s="7"/>
      <c r="F3" s="7">
        <f t="shared" ref="F3:F10" si="0">SUM(B3:E3)</f>
        <v>8234.74</v>
      </c>
      <c r="G3" s="6">
        <f t="shared" ref="G3:G10" si="1">B3+C3</f>
        <v>5825.57</v>
      </c>
      <c r="H3" s="1"/>
      <c r="I3" s="1" t="s">
        <v>9</v>
      </c>
      <c r="J3" s="13">
        <f>F3+F4+F5+F6</f>
        <v>25081.02</v>
      </c>
      <c r="K3" s="14"/>
      <c r="L3" s="1" t="s">
        <v>10</v>
      </c>
      <c r="M3" s="13">
        <f>F7+F8+F9</f>
        <v>12843.53</v>
      </c>
      <c r="N3" s="14"/>
    </row>
    <row r="4" spans="1:14">
      <c r="A4" s="1" t="s">
        <v>11</v>
      </c>
      <c r="B4" s="7">
        <v>10548.81</v>
      </c>
      <c r="C4" s="7">
        <v>2085.48</v>
      </c>
      <c r="D4" s="7">
        <v>524.07</v>
      </c>
      <c r="E4" s="7"/>
      <c r="F4" s="7">
        <f t="shared" si="0"/>
        <v>13158.36</v>
      </c>
      <c r="G4" s="6">
        <f t="shared" si="1"/>
        <v>12634.29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6.67</v>
      </c>
      <c r="D5" s="7"/>
      <c r="E5" s="7"/>
      <c r="F5" s="7">
        <f t="shared" si="0"/>
        <v>6.67</v>
      </c>
      <c r="G5" s="6">
        <f t="shared" si="1"/>
        <v>6.67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3681.25</v>
      </c>
      <c r="C6" s="7"/>
      <c r="D6" s="7"/>
      <c r="E6" s="7"/>
      <c r="F6" s="7">
        <f t="shared" si="0"/>
        <v>3681.25</v>
      </c>
      <c r="G6" s="6">
        <f t="shared" si="1"/>
        <v>3681.25</v>
      </c>
      <c r="H6" s="1"/>
      <c r="I6" s="1"/>
      <c r="J6" s="1" t="s">
        <v>9</v>
      </c>
      <c r="K6" s="13">
        <f>J3</f>
        <v>25081.02</v>
      </c>
      <c r="L6" s="1"/>
      <c r="M6" s="1"/>
      <c r="N6" s="1"/>
    </row>
    <row r="7" spans="1:14">
      <c r="A7" s="1" t="s">
        <v>14</v>
      </c>
      <c r="B7" s="7">
        <v>1091.69</v>
      </c>
      <c r="C7" s="7">
        <v>199.54</v>
      </c>
      <c r="D7" s="7">
        <v>9631.15999999999</v>
      </c>
      <c r="E7" s="7"/>
      <c r="F7" s="7">
        <f t="shared" si="0"/>
        <v>10922.39</v>
      </c>
      <c r="G7" s="6">
        <f t="shared" si="1"/>
        <v>1291.23</v>
      </c>
      <c r="H7" s="1"/>
      <c r="I7" s="1"/>
      <c r="J7" s="1" t="s">
        <v>10</v>
      </c>
      <c r="K7" s="13">
        <f>M3</f>
        <v>12843.53</v>
      </c>
      <c r="L7" s="1"/>
      <c r="M7" s="1"/>
      <c r="N7" s="1"/>
    </row>
    <row r="8" spans="1:14">
      <c r="A8" s="1" t="s">
        <v>15</v>
      </c>
      <c r="B8" s="7"/>
      <c r="C8" s="7">
        <v>117.74</v>
      </c>
      <c r="D8" s="7">
        <v>819.22</v>
      </c>
      <c r="E8" s="7"/>
      <c r="F8" s="7">
        <f t="shared" si="0"/>
        <v>936.96</v>
      </c>
      <c r="G8" s="6">
        <f t="shared" si="1"/>
        <v>117.74</v>
      </c>
      <c r="H8" s="1"/>
      <c r="I8" s="2"/>
      <c r="J8" s="1" t="s">
        <v>16</v>
      </c>
      <c r="K8" s="7">
        <f>K6+K7</f>
        <v>37924.55</v>
      </c>
      <c r="L8" s="1"/>
      <c r="M8" s="1"/>
      <c r="N8" s="1"/>
    </row>
    <row r="9" spans="1:14">
      <c r="A9" s="1" t="s">
        <v>17</v>
      </c>
      <c r="B9" s="7"/>
      <c r="C9" s="7">
        <v>984.179999999999</v>
      </c>
      <c r="D9" s="7"/>
      <c r="E9" s="7"/>
      <c r="F9" s="7">
        <f t="shared" si="0"/>
        <v>984.179999999999</v>
      </c>
      <c r="G9" s="6">
        <f t="shared" si="1"/>
        <v>984.179999999999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19714.93</v>
      </c>
      <c r="C10" s="7">
        <f>SUM(C3:C9)</f>
        <v>4826</v>
      </c>
      <c r="D10" s="7">
        <f>SUM(D3:D9)</f>
        <v>13383.62</v>
      </c>
      <c r="E10" s="7">
        <f>SUM(E3:E9)</f>
        <v>0</v>
      </c>
      <c r="F10" s="7">
        <f t="shared" si="0"/>
        <v>37924.55</v>
      </c>
      <c r="G10" s="6">
        <f t="shared" si="1"/>
        <v>24540.93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44.5</v>
      </c>
    </row>
    <row r="17" spans="1:5">
      <c r="A17" t="s">
        <v>14</v>
      </c>
      <c r="D17" t="s">
        <v>14</v>
      </c>
      <c r="E17" s="9">
        <v>545</v>
      </c>
    </row>
    <row r="18" spans="1:5">
      <c r="A18" t="s">
        <v>11</v>
      </c>
      <c r="D18" t="s">
        <v>11</v>
      </c>
      <c r="E18" s="9">
        <v>28.5</v>
      </c>
    </row>
    <row r="19" spans="1:5">
      <c r="A19" t="s">
        <v>8</v>
      </c>
      <c r="D19" t="s">
        <v>8</v>
      </c>
      <c r="E19" s="9">
        <v>117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735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82905</v>
      </c>
      <c r="D23" t="s">
        <v>17</v>
      </c>
      <c r="E23" s="12">
        <v>124</v>
      </c>
      <c r="F23" s="10"/>
    </row>
    <row r="24" spans="1:5">
      <c r="A24" t="s">
        <v>15</v>
      </c>
      <c r="B24" s="10">
        <v>3273</v>
      </c>
      <c r="D24" t="s">
        <v>15</v>
      </c>
      <c r="E24" s="12">
        <v>31</v>
      </c>
    </row>
    <row r="25" spans="1:5">
      <c r="A25" t="s">
        <v>14</v>
      </c>
      <c r="B25" s="10">
        <v>5712</v>
      </c>
      <c r="D25" t="s">
        <v>14</v>
      </c>
      <c r="E25" s="12">
        <v>47.4</v>
      </c>
    </row>
    <row r="26" spans="1:5">
      <c r="A26" t="s">
        <v>12</v>
      </c>
      <c r="B26" s="10">
        <v>778</v>
      </c>
      <c r="D26" t="s">
        <v>12</v>
      </c>
      <c r="E26" s="12">
        <v>2.6</v>
      </c>
    </row>
    <row r="27" spans="1:5">
      <c r="A27" t="s">
        <v>11</v>
      </c>
      <c r="B27" s="10">
        <v>34392</v>
      </c>
      <c r="D27" t="s">
        <v>11</v>
      </c>
      <c r="E27" s="12">
        <v>173.2</v>
      </c>
    </row>
    <row r="28" spans="1:5">
      <c r="A28" t="s">
        <v>8</v>
      </c>
      <c r="B28" s="10">
        <v>41440</v>
      </c>
      <c r="D28" t="s">
        <v>8</v>
      </c>
      <c r="E28" s="12">
        <v>130.4</v>
      </c>
    </row>
    <row r="29" spans="1:5">
      <c r="A29" t="s">
        <v>16</v>
      </c>
      <c r="B29" s="11">
        <f>SUM(B23:B28)</f>
        <v>168500</v>
      </c>
      <c r="D29" t="s">
        <v>16</v>
      </c>
      <c r="E29" s="12">
        <f>SUM(E23:E28)</f>
        <v>508.6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8377</v>
      </c>
      <c r="D33" t="s">
        <v>14</v>
      </c>
      <c r="E33">
        <v>99</v>
      </c>
    </row>
    <row r="34" spans="1:5">
      <c r="A34" t="s">
        <v>13</v>
      </c>
      <c r="B34" s="10">
        <v>23605</v>
      </c>
      <c r="D34" t="s">
        <v>13</v>
      </c>
      <c r="E34">
        <v>589</v>
      </c>
    </row>
    <row r="35" spans="1:5">
      <c r="A35" t="s">
        <v>11</v>
      </c>
      <c r="B35" s="10">
        <v>140099</v>
      </c>
      <c r="D35" t="s">
        <v>11</v>
      </c>
      <c r="E35">
        <v>615.7</v>
      </c>
    </row>
    <row r="36" spans="1:5">
      <c r="A36" t="s">
        <v>8</v>
      </c>
      <c r="B36" s="10">
        <v>61381</v>
      </c>
      <c r="D36" t="s">
        <v>8</v>
      </c>
      <c r="E36" s="12">
        <v>482.5</v>
      </c>
    </row>
    <row r="37" spans="1:5">
      <c r="A37" t="s">
        <v>16</v>
      </c>
      <c r="B37" s="11">
        <f>SUM(B32:B36)</f>
        <v>233462</v>
      </c>
      <c r="D37" t="s">
        <v>16</v>
      </c>
      <c r="E37">
        <f>SUM(E32:E36)</f>
        <v>1786.2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B7" sqref="B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2445.57</v>
      </c>
      <c r="C3" s="7">
        <v>1833.49</v>
      </c>
      <c r="D3" s="7">
        <v>1923.42</v>
      </c>
      <c r="E3" s="7"/>
      <c r="F3" s="7">
        <f t="shared" ref="F3:F10" si="0">SUM(B3:E3)</f>
        <v>6202.48</v>
      </c>
      <c r="G3" s="6">
        <f t="shared" ref="G3:G10" si="1">B3+C3</f>
        <v>4279.06</v>
      </c>
      <c r="H3" s="1"/>
      <c r="I3" s="1" t="s">
        <v>9</v>
      </c>
      <c r="J3" s="13">
        <f>F3+F4+F5+F6</f>
        <v>24090.38</v>
      </c>
      <c r="K3" s="14"/>
      <c r="L3" s="1" t="s">
        <v>10</v>
      </c>
      <c r="M3" s="13">
        <f>F7+F8+F9</f>
        <v>14418.23</v>
      </c>
      <c r="N3" s="14"/>
    </row>
    <row r="4" spans="1:14">
      <c r="A4" s="1" t="s">
        <v>11</v>
      </c>
      <c r="B4" s="7">
        <v>9350.73</v>
      </c>
      <c r="C4" s="7">
        <v>4177.28</v>
      </c>
      <c r="D4" s="7">
        <v>736.92</v>
      </c>
      <c r="E4" s="7"/>
      <c r="F4" s="7">
        <f t="shared" si="0"/>
        <v>14264.93</v>
      </c>
      <c r="G4" s="6">
        <f t="shared" si="1"/>
        <v>13528.01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41.72</v>
      </c>
      <c r="D5" s="7"/>
      <c r="E5" s="7"/>
      <c r="F5" s="7">
        <f t="shared" si="0"/>
        <v>41.72</v>
      </c>
      <c r="G5" s="6">
        <f t="shared" si="1"/>
        <v>41.72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3581.25</v>
      </c>
      <c r="C6" s="7"/>
      <c r="D6" s="7"/>
      <c r="E6" s="7"/>
      <c r="F6" s="7">
        <f t="shared" si="0"/>
        <v>3581.25</v>
      </c>
      <c r="G6" s="6">
        <f t="shared" si="1"/>
        <v>3581.25</v>
      </c>
      <c r="H6" s="1"/>
      <c r="I6" s="1"/>
      <c r="J6" s="1" t="s">
        <v>9</v>
      </c>
      <c r="K6" s="13">
        <f>J3</f>
        <v>24090.38</v>
      </c>
      <c r="L6" s="1"/>
      <c r="M6" s="1"/>
      <c r="N6" s="1"/>
    </row>
    <row r="7" spans="1:14">
      <c r="A7" s="1" t="s">
        <v>14</v>
      </c>
      <c r="B7" s="7">
        <v>458.61</v>
      </c>
      <c r="C7" s="7">
        <v>139.66</v>
      </c>
      <c r="D7" s="7">
        <v>12241.64</v>
      </c>
      <c r="E7" s="7"/>
      <c r="F7" s="7">
        <f t="shared" si="0"/>
        <v>12839.91</v>
      </c>
      <c r="G7" s="6">
        <f t="shared" si="1"/>
        <v>598.27</v>
      </c>
      <c r="H7" s="1"/>
      <c r="I7" s="1"/>
      <c r="J7" s="1" t="s">
        <v>10</v>
      </c>
      <c r="K7" s="13">
        <f>M3</f>
        <v>14418.23</v>
      </c>
      <c r="L7" s="1"/>
      <c r="M7" s="1"/>
      <c r="N7" s="1"/>
    </row>
    <row r="8" spans="1:14">
      <c r="A8" s="1" t="s">
        <v>15</v>
      </c>
      <c r="B8" s="7"/>
      <c r="C8" s="7">
        <v>168.49</v>
      </c>
      <c r="D8" s="7">
        <v>704.68</v>
      </c>
      <c r="E8" s="7"/>
      <c r="F8" s="7">
        <f t="shared" si="0"/>
        <v>873.17</v>
      </c>
      <c r="G8" s="6">
        <f t="shared" si="1"/>
        <v>168.49</v>
      </c>
      <c r="H8" s="1"/>
      <c r="I8" s="2"/>
      <c r="J8" s="1" t="s">
        <v>16</v>
      </c>
      <c r="K8" s="7">
        <f>K6+K7</f>
        <v>38508.61</v>
      </c>
      <c r="L8" s="1"/>
      <c r="M8" s="1"/>
      <c r="N8" s="1"/>
    </row>
    <row r="9" spans="1:14">
      <c r="A9" s="1" t="s">
        <v>17</v>
      </c>
      <c r="B9" s="7"/>
      <c r="C9" s="7">
        <v>705.15</v>
      </c>
      <c r="D9" s="7"/>
      <c r="E9" s="7"/>
      <c r="F9" s="7">
        <f t="shared" si="0"/>
        <v>705.15</v>
      </c>
      <c r="G9" s="6">
        <f t="shared" si="1"/>
        <v>705.15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15836.16</v>
      </c>
      <c r="C10" s="7">
        <f>SUM(C3:C9)</f>
        <v>7065.79</v>
      </c>
      <c r="D10" s="7">
        <f>SUM(D3:D9)</f>
        <v>15606.66</v>
      </c>
      <c r="E10" s="7">
        <f>SUM(E3:E9)</f>
        <v>0</v>
      </c>
      <c r="F10" s="7">
        <f t="shared" si="0"/>
        <v>38508.61</v>
      </c>
      <c r="G10" s="6">
        <f t="shared" si="1"/>
        <v>22901.95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40</v>
      </c>
    </row>
    <row r="17" spans="1:5">
      <c r="A17" t="s">
        <v>14</v>
      </c>
      <c r="D17" t="s">
        <v>14</v>
      </c>
      <c r="E17" s="9">
        <v>696.5</v>
      </c>
    </row>
    <row r="18" spans="1:5">
      <c r="A18" t="s">
        <v>11</v>
      </c>
      <c r="D18" t="s">
        <v>11</v>
      </c>
      <c r="E18" s="9">
        <v>39.5</v>
      </c>
    </row>
    <row r="19" spans="1:5">
      <c r="A19" t="s">
        <v>8</v>
      </c>
      <c r="D19" t="s">
        <v>8</v>
      </c>
      <c r="E19" s="9">
        <v>93.5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869.5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58625</v>
      </c>
      <c r="D23" t="s">
        <v>17</v>
      </c>
      <c r="E23" s="12">
        <v>83.5</v>
      </c>
      <c r="F23" s="10"/>
    </row>
    <row r="24" spans="1:5">
      <c r="A24" t="s">
        <v>15</v>
      </c>
      <c r="B24" s="10">
        <v>4836</v>
      </c>
      <c r="D24" t="s">
        <v>15</v>
      </c>
      <c r="E24" s="12">
        <v>46</v>
      </c>
    </row>
    <row r="25" spans="1:5">
      <c r="A25" t="s">
        <v>14</v>
      </c>
      <c r="B25" s="10">
        <v>3520</v>
      </c>
      <c r="D25" t="s">
        <v>14</v>
      </c>
      <c r="E25" s="12">
        <v>31.4</v>
      </c>
    </row>
    <row r="26" spans="1:5">
      <c r="A26" t="s">
        <v>12</v>
      </c>
      <c r="B26" s="10">
        <v>3607</v>
      </c>
      <c r="D26" t="s">
        <v>12</v>
      </c>
      <c r="E26" s="12">
        <v>13.3</v>
      </c>
    </row>
    <row r="27" spans="1:5">
      <c r="A27" t="s">
        <v>11</v>
      </c>
      <c r="B27" s="10">
        <v>49977</v>
      </c>
      <c r="D27" t="s">
        <v>11</v>
      </c>
      <c r="E27" s="12">
        <v>400.9</v>
      </c>
    </row>
    <row r="28" spans="1:5">
      <c r="A28" t="s">
        <v>8</v>
      </c>
      <c r="B28" s="10">
        <v>49415</v>
      </c>
      <c r="D28" t="s">
        <v>8</v>
      </c>
      <c r="E28" s="12">
        <v>158.4</v>
      </c>
    </row>
    <row r="29" spans="1:5">
      <c r="A29" t="s">
        <v>16</v>
      </c>
      <c r="B29" s="11">
        <f>SUM(B23:B28)</f>
        <v>169980</v>
      </c>
      <c r="D29" t="s">
        <v>16</v>
      </c>
      <c r="E29" s="12">
        <f>SUM(E23:E28)</f>
        <v>733.5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4780</v>
      </c>
      <c r="D33" t="s">
        <v>14</v>
      </c>
      <c r="E33">
        <v>31.5</v>
      </c>
    </row>
    <row r="34" spans="1:5">
      <c r="A34" t="s">
        <v>13</v>
      </c>
      <c r="B34" s="10">
        <v>25333</v>
      </c>
      <c r="D34" t="s">
        <v>13</v>
      </c>
      <c r="E34">
        <v>573</v>
      </c>
    </row>
    <row r="35" spans="1:5">
      <c r="A35" t="s">
        <v>11</v>
      </c>
      <c r="B35" s="10">
        <v>113584</v>
      </c>
      <c r="D35" t="s">
        <v>11</v>
      </c>
      <c r="E35">
        <v>642</v>
      </c>
    </row>
    <row r="36" spans="1:5">
      <c r="A36" t="s">
        <v>8</v>
      </c>
      <c r="B36" s="10">
        <v>27967</v>
      </c>
      <c r="D36" t="s">
        <v>8</v>
      </c>
      <c r="E36" s="12">
        <v>311.5</v>
      </c>
    </row>
    <row r="37" spans="1:5">
      <c r="A37" t="s">
        <v>16</v>
      </c>
      <c r="B37" s="11">
        <f>SUM(B32:B36)</f>
        <v>171664</v>
      </c>
      <c r="D37" t="s">
        <v>16</v>
      </c>
      <c r="E37">
        <f>SUM(E32:E36)</f>
        <v>1558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K8" sqref="K8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3375.2</v>
      </c>
      <c r="C3" s="7">
        <v>2805.45</v>
      </c>
      <c r="D3" s="7">
        <v>1802.29</v>
      </c>
      <c r="E3" s="7"/>
      <c r="F3" s="7">
        <f t="shared" ref="F3:F10" si="0">SUM(B3:E3)</f>
        <v>7982.94</v>
      </c>
      <c r="G3" s="6">
        <f t="shared" ref="G3:G10" si="1">B3+C3</f>
        <v>6180.65</v>
      </c>
      <c r="H3" s="1"/>
      <c r="I3" s="1" t="s">
        <v>9</v>
      </c>
      <c r="J3" s="13">
        <f>F3+F4+F5+F6</f>
        <v>21959.78</v>
      </c>
      <c r="K3" s="14"/>
      <c r="L3" s="1" t="s">
        <v>10</v>
      </c>
      <c r="M3" s="13">
        <f>F7+F8+F9</f>
        <v>10196.86</v>
      </c>
      <c r="N3" s="14"/>
    </row>
    <row r="4" spans="1:14">
      <c r="A4" s="1" t="s">
        <v>11</v>
      </c>
      <c r="B4" s="7">
        <v>8105.52000000001</v>
      </c>
      <c r="C4" s="7">
        <v>1733.56</v>
      </c>
      <c r="D4" s="7">
        <v>944.33</v>
      </c>
      <c r="E4" s="7"/>
      <c r="F4" s="7">
        <f t="shared" si="0"/>
        <v>10783.41</v>
      </c>
      <c r="G4" s="6">
        <f t="shared" si="1"/>
        <v>9839.08000000001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35.93</v>
      </c>
      <c r="D5" s="7"/>
      <c r="E5" s="7"/>
      <c r="F5" s="7">
        <f t="shared" si="0"/>
        <v>35.93</v>
      </c>
      <c r="G5" s="6">
        <f t="shared" si="1"/>
        <v>35.93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3157.5</v>
      </c>
      <c r="C6" s="7"/>
      <c r="D6" s="7"/>
      <c r="E6" s="7"/>
      <c r="F6" s="7">
        <f t="shared" si="0"/>
        <v>3157.5</v>
      </c>
      <c r="G6" s="6">
        <f t="shared" si="1"/>
        <v>3157.5</v>
      </c>
      <c r="H6" s="1"/>
      <c r="I6" s="1"/>
      <c r="J6" s="1" t="s">
        <v>9</v>
      </c>
      <c r="K6" s="13">
        <f>J3</f>
        <v>21959.78</v>
      </c>
      <c r="L6" s="1"/>
      <c r="M6" s="1"/>
      <c r="N6" s="1"/>
    </row>
    <row r="7" spans="1:14">
      <c r="A7" s="1" t="s">
        <v>14</v>
      </c>
      <c r="B7" s="7">
        <v>551.93</v>
      </c>
      <c r="C7" s="7"/>
      <c r="D7" s="7">
        <v>7761.64</v>
      </c>
      <c r="E7" s="7"/>
      <c r="F7" s="7">
        <f t="shared" si="0"/>
        <v>8313.57</v>
      </c>
      <c r="G7" s="6">
        <f t="shared" si="1"/>
        <v>551.93</v>
      </c>
      <c r="H7" s="1"/>
      <c r="I7" s="1"/>
      <c r="J7" s="1" t="s">
        <v>10</v>
      </c>
      <c r="K7" s="13">
        <f>M3</f>
        <v>10196.86</v>
      </c>
      <c r="L7" s="1"/>
      <c r="M7" s="1"/>
      <c r="N7" s="1"/>
    </row>
    <row r="8" spans="1:14">
      <c r="A8" s="1" t="s">
        <v>15</v>
      </c>
      <c r="B8" s="7"/>
      <c r="C8" s="7">
        <v>107.59</v>
      </c>
      <c r="D8" s="7">
        <v>845.39</v>
      </c>
      <c r="E8" s="7"/>
      <c r="F8" s="7">
        <f t="shared" si="0"/>
        <v>952.98</v>
      </c>
      <c r="G8" s="6">
        <f t="shared" si="1"/>
        <v>107.59</v>
      </c>
      <c r="H8" s="1"/>
      <c r="I8" s="2"/>
      <c r="J8" s="1" t="s">
        <v>16</v>
      </c>
      <c r="K8" s="7">
        <f>K6+K7</f>
        <v>32156.64</v>
      </c>
      <c r="L8" s="1"/>
      <c r="M8" s="1"/>
      <c r="N8" s="1"/>
    </row>
    <row r="9" spans="1:14">
      <c r="A9" s="1" t="s">
        <v>17</v>
      </c>
      <c r="B9" s="7"/>
      <c r="C9" s="7">
        <v>930.31</v>
      </c>
      <c r="D9" s="7"/>
      <c r="E9" s="7"/>
      <c r="F9" s="7">
        <f t="shared" si="0"/>
        <v>930.31</v>
      </c>
      <c r="G9" s="6">
        <f t="shared" si="1"/>
        <v>930.31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15190.15</v>
      </c>
      <c r="C10" s="7">
        <f>SUM(C3:C9)</f>
        <v>5612.84</v>
      </c>
      <c r="D10" s="7">
        <f>SUM(D3:D9)</f>
        <v>11353.65</v>
      </c>
      <c r="E10" s="7">
        <f>SUM(E3:E9)</f>
        <v>0</v>
      </c>
      <c r="F10" s="7">
        <f t="shared" si="0"/>
        <v>32156.64</v>
      </c>
      <c r="G10" s="6">
        <f t="shared" si="1"/>
        <v>20802.99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48.5</v>
      </c>
    </row>
    <row r="17" spans="1:5">
      <c r="A17" t="s">
        <v>14</v>
      </c>
      <c r="D17" t="s">
        <v>14</v>
      </c>
      <c r="E17" s="9">
        <v>485</v>
      </c>
    </row>
    <row r="18" spans="1:5">
      <c r="A18" t="s">
        <v>11</v>
      </c>
      <c r="D18" t="s">
        <v>11</v>
      </c>
      <c r="E18" s="9">
        <v>52.5</v>
      </c>
    </row>
    <row r="19" spans="1:5">
      <c r="A19" t="s">
        <v>8</v>
      </c>
      <c r="D19" t="s">
        <v>8</v>
      </c>
      <c r="E19" s="9">
        <v>92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678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82221</v>
      </c>
      <c r="D23" t="s">
        <v>17</v>
      </c>
      <c r="E23" s="12">
        <v>101</v>
      </c>
      <c r="F23" s="10"/>
    </row>
    <row r="24" spans="1:5">
      <c r="A24" t="s">
        <v>15</v>
      </c>
      <c r="B24" s="10">
        <v>2520</v>
      </c>
      <c r="D24" t="s">
        <v>15</v>
      </c>
      <c r="E24" s="12">
        <v>28</v>
      </c>
    </row>
    <row r="25" spans="1:5">
      <c r="A25" t="s">
        <v>14</v>
      </c>
      <c r="B25" s="10">
        <v>0</v>
      </c>
      <c r="D25" t="s">
        <v>14</v>
      </c>
      <c r="E25" s="12">
        <v>0</v>
      </c>
    </row>
    <row r="26" spans="1:5">
      <c r="A26" t="s">
        <v>12</v>
      </c>
      <c r="B26" s="10">
        <v>3157</v>
      </c>
      <c r="D26" t="s">
        <v>12</v>
      </c>
      <c r="E26" s="12">
        <v>14</v>
      </c>
    </row>
    <row r="27" spans="1:5">
      <c r="A27" t="s">
        <v>11</v>
      </c>
      <c r="B27" s="10">
        <v>37119</v>
      </c>
      <c r="D27" t="s">
        <v>11</v>
      </c>
      <c r="E27" s="12">
        <v>198.9</v>
      </c>
    </row>
    <row r="28" spans="1:5">
      <c r="A28" t="s">
        <v>8</v>
      </c>
      <c r="B28" s="10">
        <v>52198</v>
      </c>
      <c r="D28" t="s">
        <v>8</v>
      </c>
      <c r="E28" s="12">
        <v>220.500000000001</v>
      </c>
    </row>
    <row r="29" spans="1:5">
      <c r="A29" t="s">
        <v>16</v>
      </c>
      <c r="B29" s="11">
        <f>SUM(B23:B28)</f>
        <v>177215</v>
      </c>
      <c r="D29" t="s">
        <v>16</v>
      </c>
      <c r="E29" s="12">
        <f>SUM(E23:E28)</f>
        <v>562.400000000001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6812</v>
      </c>
      <c r="D33" t="s">
        <v>14</v>
      </c>
      <c r="E33">
        <v>40</v>
      </c>
    </row>
    <row r="34" spans="1:5">
      <c r="A34" t="s">
        <v>13</v>
      </c>
      <c r="B34" s="10">
        <v>21994</v>
      </c>
      <c r="D34" t="s">
        <v>13</v>
      </c>
      <c r="E34">
        <v>505.2</v>
      </c>
    </row>
    <row r="35" spans="1:5">
      <c r="A35" t="s">
        <v>11</v>
      </c>
      <c r="B35" s="10">
        <v>67759</v>
      </c>
      <c r="D35" t="s">
        <v>11</v>
      </c>
      <c r="E35">
        <v>574.9</v>
      </c>
    </row>
    <row r="36" spans="1:5">
      <c r="A36" t="s">
        <v>8</v>
      </c>
      <c r="B36" s="10">
        <v>121780</v>
      </c>
      <c r="D36" t="s">
        <v>8</v>
      </c>
      <c r="E36" s="12">
        <v>455.5</v>
      </c>
    </row>
    <row r="37" spans="1:5">
      <c r="A37" t="s">
        <v>16</v>
      </c>
      <c r="B37" s="11">
        <f>SUM(B32:B36)</f>
        <v>218345</v>
      </c>
      <c r="D37" t="s">
        <v>16</v>
      </c>
      <c r="E37">
        <f>SUM(E32:E36)</f>
        <v>1575.6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C15" sqref="C15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2352.47</v>
      </c>
      <c r="C3" s="7">
        <v>2887.85</v>
      </c>
      <c r="D3" s="7">
        <v>2063.12</v>
      </c>
      <c r="E3" s="7"/>
      <c r="F3" s="7">
        <f t="shared" ref="F3:F10" si="0">SUM(B3:E3)</f>
        <v>7303.44</v>
      </c>
      <c r="G3" s="6">
        <f t="shared" ref="G3:G10" si="1">B3+C3</f>
        <v>5240.32</v>
      </c>
      <c r="H3" s="1"/>
      <c r="I3" s="1" t="s">
        <v>9</v>
      </c>
      <c r="J3" s="13">
        <f>F3+F4+F5+F6</f>
        <v>24419.795</v>
      </c>
      <c r="K3" s="14"/>
      <c r="L3" s="1" t="s">
        <v>10</v>
      </c>
      <c r="M3" s="13">
        <f>F7+F8+F9</f>
        <v>16147.72</v>
      </c>
      <c r="N3" s="14"/>
    </row>
    <row r="4" spans="1:14">
      <c r="A4" s="1" t="s">
        <v>11</v>
      </c>
      <c r="B4" s="7">
        <v>9636.72</v>
      </c>
      <c r="C4" s="7">
        <v>2191.5</v>
      </c>
      <c r="D4" s="7">
        <v>1553.89</v>
      </c>
      <c r="E4" s="7"/>
      <c r="F4" s="7">
        <f t="shared" si="0"/>
        <v>13382.11</v>
      </c>
      <c r="G4" s="6">
        <f t="shared" si="1"/>
        <v>11828.22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52.37</v>
      </c>
      <c r="D5" s="7"/>
      <c r="E5" s="7"/>
      <c r="F5" s="7">
        <f t="shared" si="0"/>
        <v>52.37</v>
      </c>
      <c r="G5" s="6">
        <f t="shared" si="1"/>
        <v>52.37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3681.875</v>
      </c>
      <c r="C6" s="7"/>
      <c r="D6" s="7"/>
      <c r="E6" s="7"/>
      <c r="F6" s="7">
        <f t="shared" si="0"/>
        <v>3681.875</v>
      </c>
      <c r="G6" s="6">
        <f t="shared" si="1"/>
        <v>3681.875</v>
      </c>
      <c r="H6" s="1"/>
      <c r="I6" s="1"/>
      <c r="J6" s="1" t="s">
        <v>9</v>
      </c>
      <c r="K6" s="13">
        <f>J3</f>
        <v>24419.795</v>
      </c>
      <c r="L6" s="1"/>
      <c r="M6" s="1"/>
      <c r="N6" s="1"/>
    </row>
    <row r="7" spans="1:14">
      <c r="A7" s="1" t="s">
        <v>14</v>
      </c>
      <c r="B7" s="7">
        <v>957.79</v>
      </c>
      <c r="C7" s="7">
        <v>731.17</v>
      </c>
      <c r="D7" s="7">
        <v>12046.9</v>
      </c>
      <c r="E7" s="7"/>
      <c r="F7" s="7">
        <f t="shared" si="0"/>
        <v>13735.86</v>
      </c>
      <c r="G7" s="6">
        <f t="shared" si="1"/>
        <v>1688.96</v>
      </c>
      <c r="H7" s="1"/>
      <c r="I7" s="1"/>
      <c r="J7" s="1" t="s">
        <v>10</v>
      </c>
      <c r="K7" s="13">
        <f>M3</f>
        <v>16147.72</v>
      </c>
      <c r="L7" s="1"/>
      <c r="M7" s="1"/>
      <c r="N7" s="1"/>
    </row>
    <row r="8" spans="1:14">
      <c r="A8" s="1" t="s">
        <v>15</v>
      </c>
      <c r="B8" s="7"/>
      <c r="C8" s="7">
        <v>178.64</v>
      </c>
      <c r="D8" s="7">
        <v>1295.75</v>
      </c>
      <c r="E8" s="7"/>
      <c r="F8" s="7">
        <f t="shared" si="0"/>
        <v>1474.39</v>
      </c>
      <c r="G8" s="6">
        <f t="shared" si="1"/>
        <v>178.64</v>
      </c>
      <c r="H8" s="1"/>
      <c r="I8" s="2"/>
      <c r="J8" s="1" t="s">
        <v>16</v>
      </c>
      <c r="K8" s="7">
        <f>K6+K7</f>
        <v>40567.515</v>
      </c>
      <c r="L8" s="1"/>
      <c r="M8" s="1"/>
      <c r="N8" s="1"/>
    </row>
    <row r="9" spans="1:14">
      <c r="A9" s="1" t="s">
        <v>17</v>
      </c>
      <c r="B9" s="7"/>
      <c r="C9" s="7">
        <v>937.47</v>
      </c>
      <c r="D9" s="7"/>
      <c r="E9" s="7"/>
      <c r="F9" s="7">
        <f t="shared" si="0"/>
        <v>937.47</v>
      </c>
      <c r="G9" s="6">
        <f t="shared" si="1"/>
        <v>937.47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16628.855</v>
      </c>
      <c r="C10" s="7">
        <f>SUM(C3:C9)</f>
        <v>6979</v>
      </c>
      <c r="D10" s="7">
        <f>SUM(D3:D9)</f>
        <v>16959.66</v>
      </c>
      <c r="E10" s="7">
        <f>SUM(E3:E9)</f>
        <v>0</v>
      </c>
      <c r="F10" s="7">
        <f t="shared" si="0"/>
        <v>40567.515</v>
      </c>
      <c r="G10" s="6">
        <f t="shared" si="1"/>
        <v>23607.855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72</v>
      </c>
    </row>
    <row r="17" spans="1:5">
      <c r="A17" t="s">
        <v>14</v>
      </c>
      <c r="D17" t="s">
        <v>14</v>
      </c>
      <c r="E17" s="9">
        <v>753</v>
      </c>
    </row>
    <row r="18" spans="1:5">
      <c r="A18" t="s">
        <v>11</v>
      </c>
      <c r="D18" t="s">
        <v>11</v>
      </c>
      <c r="E18" s="9">
        <v>80</v>
      </c>
    </row>
    <row r="19" spans="1:5">
      <c r="A19" t="s">
        <v>8</v>
      </c>
      <c r="D19" t="s">
        <v>8</v>
      </c>
      <c r="E19" s="9">
        <v>111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1016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77394</v>
      </c>
      <c r="D23" t="s">
        <v>17</v>
      </c>
      <c r="E23" s="12">
        <v>104</v>
      </c>
      <c r="F23" s="10"/>
    </row>
    <row r="24" spans="1:5">
      <c r="A24" t="s">
        <v>15</v>
      </c>
      <c r="B24" s="10">
        <v>5128</v>
      </c>
      <c r="D24" t="s">
        <v>15</v>
      </c>
      <c r="E24" s="12">
        <v>41</v>
      </c>
    </row>
    <row r="25" spans="1:5">
      <c r="A25" t="s">
        <v>14</v>
      </c>
      <c r="B25" s="10">
        <v>17150</v>
      </c>
      <c r="D25" t="s">
        <v>14</v>
      </c>
      <c r="E25" s="12">
        <v>68.7</v>
      </c>
    </row>
    <row r="26" spans="1:5">
      <c r="A26" t="s">
        <v>12</v>
      </c>
      <c r="B26" s="10">
        <v>7140</v>
      </c>
      <c r="D26" t="s">
        <v>12</v>
      </c>
      <c r="E26" s="12">
        <v>20.4</v>
      </c>
    </row>
    <row r="27" spans="1:5">
      <c r="A27" t="s">
        <v>11</v>
      </c>
      <c r="B27" s="10">
        <v>35642</v>
      </c>
      <c r="D27" t="s">
        <v>11</v>
      </c>
      <c r="E27" s="12">
        <v>282.5</v>
      </c>
    </row>
    <row r="28" spans="1:5">
      <c r="A28" t="s">
        <v>8</v>
      </c>
      <c r="B28" s="10">
        <v>46840</v>
      </c>
      <c r="D28" t="s">
        <v>8</v>
      </c>
      <c r="E28" s="12">
        <v>204.800000000001</v>
      </c>
    </row>
    <row r="29" spans="1:5">
      <c r="A29" t="s">
        <v>16</v>
      </c>
      <c r="B29" s="11">
        <f>SUM(B23:B28)</f>
        <v>189294</v>
      </c>
      <c r="D29" t="s">
        <v>16</v>
      </c>
      <c r="E29" s="12">
        <f>SUM(E23:E28)</f>
        <v>721.400000000001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13200</v>
      </c>
      <c r="D33" t="s">
        <v>14</v>
      </c>
      <c r="E33">
        <v>59</v>
      </c>
    </row>
    <row r="34" spans="1:5">
      <c r="A34" t="s">
        <v>13</v>
      </c>
      <c r="B34" s="10">
        <v>31547</v>
      </c>
      <c r="D34" t="s">
        <v>13</v>
      </c>
      <c r="E34">
        <v>589.1</v>
      </c>
    </row>
    <row r="35" spans="1:5">
      <c r="A35" t="s">
        <v>11</v>
      </c>
      <c r="B35" s="10">
        <v>64422</v>
      </c>
      <c r="D35" t="s">
        <v>11</v>
      </c>
      <c r="E35">
        <v>691.6</v>
      </c>
    </row>
    <row r="36" spans="1:5">
      <c r="A36" t="s">
        <v>8</v>
      </c>
      <c r="B36" s="10">
        <v>70237</v>
      </c>
      <c r="D36" t="s">
        <v>8</v>
      </c>
      <c r="E36" s="12">
        <v>358</v>
      </c>
    </row>
    <row r="37" spans="1:5">
      <c r="A37" t="s">
        <v>16</v>
      </c>
      <c r="B37" s="11">
        <f>SUM(B32:B36)</f>
        <v>179406</v>
      </c>
      <c r="D37" t="s">
        <v>16</v>
      </c>
      <c r="E37">
        <f>SUM(E32:E36)</f>
        <v>1697.7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topLeftCell="A6" workbookViewId="0">
      <selection activeCell="A25" sqref="A25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1049.38</v>
      </c>
      <c r="C3" s="7">
        <v>2449.76000000001</v>
      </c>
      <c r="D3" s="7">
        <v>2237.89</v>
      </c>
      <c r="E3" s="7"/>
      <c r="F3" s="7">
        <f t="shared" ref="F3:F10" si="0">SUM(B3:E3)</f>
        <v>5737.03000000001</v>
      </c>
      <c r="G3" s="6">
        <f t="shared" ref="G3:G10" si="1">B3+C3</f>
        <v>3499.14000000001</v>
      </c>
      <c r="H3" s="1"/>
      <c r="I3" s="1" t="s">
        <v>9</v>
      </c>
      <c r="J3" s="13">
        <f>F3+F4+F5+F6</f>
        <v>16758.705</v>
      </c>
      <c r="K3" s="14"/>
      <c r="L3" s="1" t="s">
        <v>10</v>
      </c>
      <c r="M3" s="13">
        <f>F7+F8+F9</f>
        <v>10954.08</v>
      </c>
      <c r="N3" s="14"/>
    </row>
    <row r="4" spans="1:14">
      <c r="A4" s="1" t="s">
        <v>11</v>
      </c>
      <c r="B4" s="7">
        <v>6636.63</v>
      </c>
      <c r="C4" s="7">
        <v>459.97</v>
      </c>
      <c r="D4" s="7">
        <v>219.42</v>
      </c>
      <c r="E4" s="7"/>
      <c r="F4" s="7">
        <f t="shared" si="0"/>
        <v>7316.02</v>
      </c>
      <c r="G4" s="6">
        <f t="shared" si="1"/>
        <v>7096.6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260.03</v>
      </c>
      <c r="D5" s="7"/>
      <c r="E5" s="7"/>
      <c r="F5" s="7">
        <f t="shared" si="0"/>
        <v>260.03</v>
      </c>
      <c r="G5" s="6">
        <f t="shared" si="1"/>
        <v>260.03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3445.625</v>
      </c>
      <c r="C6" s="7"/>
      <c r="D6" s="7"/>
      <c r="E6" s="7"/>
      <c r="F6" s="7">
        <f t="shared" si="0"/>
        <v>3445.625</v>
      </c>
      <c r="G6" s="6">
        <f t="shared" si="1"/>
        <v>3445.625</v>
      </c>
      <c r="H6" s="1"/>
      <c r="I6" s="1"/>
      <c r="J6" s="1" t="s">
        <v>9</v>
      </c>
      <c r="K6" s="13">
        <f>J3</f>
        <v>16758.705</v>
      </c>
      <c r="L6" s="1"/>
      <c r="M6" s="1"/>
      <c r="N6" s="1"/>
    </row>
    <row r="7" spans="1:14">
      <c r="A7" s="1" t="s">
        <v>14</v>
      </c>
      <c r="B7" s="7">
        <v>748.8</v>
      </c>
      <c r="C7" s="7">
        <v>1741.67</v>
      </c>
      <c r="D7" s="7">
        <v>5217.26</v>
      </c>
      <c r="E7" s="7"/>
      <c r="F7" s="7">
        <f t="shared" si="0"/>
        <v>7707.73</v>
      </c>
      <c r="G7" s="6">
        <f t="shared" si="1"/>
        <v>2490.47</v>
      </c>
      <c r="H7" s="1"/>
      <c r="I7" s="1"/>
      <c r="J7" s="1" t="s">
        <v>10</v>
      </c>
      <c r="K7" s="13">
        <f>M3</f>
        <v>10954.08</v>
      </c>
      <c r="L7" s="1"/>
      <c r="M7" s="1"/>
      <c r="N7" s="1"/>
    </row>
    <row r="8" spans="1:14">
      <c r="A8" s="1" t="s">
        <v>15</v>
      </c>
      <c r="B8" s="7"/>
      <c r="C8" s="7">
        <v>1583.39999999999</v>
      </c>
      <c r="D8" s="7">
        <v>1023.73</v>
      </c>
      <c r="E8" s="7"/>
      <c r="F8" s="7">
        <f t="shared" si="0"/>
        <v>2607.12999999999</v>
      </c>
      <c r="G8" s="6">
        <f t="shared" si="1"/>
        <v>1583.39999999999</v>
      </c>
      <c r="H8" s="1"/>
      <c r="I8" s="2"/>
      <c r="J8" s="1" t="s">
        <v>16</v>
      </c>
      <c r="K8" s="7">
        <f>K6+K7</f>
        <v>27712.785</v>
      </c>
      <c r="L8" s="1"/>
      <c r="M8" s="1"/>
      <c r="N8" s="1"/>
    </row>
    <row r="9" spans="1:14">
      <c r="A9" s="1" t="s">
        <v>17</v>
      </c>
      <c r="B9" s="7"/>
      <c r="C9" s="7">
        <v>639.22</v>
      </c>
      <c r="D9" s="7"/>
      <c r="E9" s="7"/>
      <c r="F9" s="7">
        <f t="shared" si="0"/>
        <v>639.22</v>
      </c>
      <c r="G9" s="6">
        <f t="shared" si="1"/>
        <v>639.22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11880.435</v>
      </c>
      <c r="C10" s="7">
        <f>SUM(C3:C9)</f>
        <v>7134.05</v>
      </c>
      <c r="D10" s="7">
        <f>SUM(D3:D9)</f>
        <v>8698.3</v>
      </c>
      <c r="E10" s="7">
        <f>SUM(E3:E9)</f>
        <v>0</v>
      </c>
      <c r="F10" s="7">
        <f t="shared" si="0"/>
        <v>27712.785</v>
      </c>
      <c r="G10" s="6">
        <f t="shared" si="1"/>
        <v>19014.485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61.5</v>
      </c>
    </row>
    <row r="17" spans="1:5">
      <c r="A17" t="s">
        <v>14</v>
      </c>
      <c r="D17" t="s">
        <v>14</v>
      </c>
      <c r="E17" s="9">
        <v>311.5</v>
      </c>
    </row>
    <row r="18" spans="1:5">
      <c r="A18" t="s">
        <v>11</v>
      </c>
      <c r="D18" t="s">
        <v>11</v>
      </c>
      <c r="E18" s="9">
        <v>12</v>
      </c>
    </row>
    <row r="19" spans="1:5">
      <c r="A19" t="s">
        <v>8</v>
      </c>
      <c r="D19" t="s">
        <v>8</v>
      </c>
      <c r="E19" s="9">
        <v>123.5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508.5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61025</v>
      </c>
      <c r="D23" t="s">
        <v>17</v>
      </c>
      <c r="E23" s="12">
        <v>77.5</v>
      </c>
      <c r="F23" s="10"/>
    </row>
    <row r="24" spans="1:5">
      <c r="A24" t="s">
        <v>15</v>
      </c>
      <c r="B24" s="10">
        <v>35914</v>
      </c>
      <c r="D24" t="s">
        <v>15</v>
      </c>
      <c r="E24" s="12">
        <v>396</v>
      </c>
    </row>
    <row r="25" spans="1:5">
      <c r="A25" t="s">
        <v>14</v>
      </c>
      <c r="B25" s="10">
        <v>23417</v>
      </c>
      <c r="D25" t="s">
        <v>14</v>
      </c>
      <c r="E25" s="12">
        <v>125.2</v>
      </c>
    </row>
    <row r="26" spans="1:5">
      <c r="A26" t="s">
        <v>12</v>
      </c>
      <c r="B26" s="10">
        <v>24356</v>
      </c>
      <c r="D26" t="s">
        <v>12</v>
      </c>
      <c r="E26" s="12">
        <v>111.7</v>
      </c>
    </row>
    <row r="27" spans="1:5">
      <c r="A27" t="s">
        <v>11</v>
      </c>
      <c r="B27" s="10">
        <v>14359</v>
      </c>
      <c r="D27" t="s">
        <v>11</v>
      </c>
      <c r="E27" s="12">
        <v>81.5</v>
      </c>
    </row>
    <row r="28" spans="1:5">
      <c r="A28" t="s">
        <v>8</v>
      </c>
      <c r="B28" s="10">
        <v>65207</v>
      </c>
      <c r="D28" t="s">
        <v>8</v>
      </c>
      <c r="E28" s="12">
        <v>204.000000000001</v>
      </c>
    </row>
    <row r="29" spans="1:5">
      <c r="A29" t="s">
        <v>16</v>
      </c>
      <c r="B29" s="11">
        <f>SUM(B23:B28)</f>
        <v>224278</v>
      </c>
      <c r="D29" t="s">
        <v>16</v>
      </c>
      <c r="E29" s="12">
        <f>SUM(E23:E28)</f>
        <v>995.900000000001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8101</v>
      </c>
      <c r="D33" t="s">
        <v>14</v>
      </c>
      <c r="E33">
        <v>55</v>
      </c>
    </row>
    <row r="34" spans="1:5">
      <c r="A34" t="s">
        <v>13</v>
      </c>
      <c r="B34" s="10">
        <v>29407</v>
      </c>
      <c r="D34" t="s">
        <v>13</v>
      </c>
      <c r="E34">
        <v>551.3</v>
      </c>
    </row>
    <row r="35" spans="1:5">
      <c r="A35" t="s">
        <v>11</v>
      </c>
      <c r="B35" s="10">
        <v>33654</v>
      </c>
      <c r="D35" t="s">
        <v>11</v>
      </c>
      <c r="E35">
        <v>486.5</v>
      </c>
    </row>
    <row r="36" spans="1:5">
      <c r="A36" t="s">
        <v>8</v>
      </c>
      <c r="B36" s="10">
        <v>21407</v>
      </c>
      <c r="D36" t="s">
        <v>8</v>
      </c>
      <c r="E36" s="12">
        <v>171.5</v>
      </c>
    </row>
    <row r="37" spans="1:5">
      <c r="A37" t="s">
        <v>16</v>
      </c>
      <c r="B37" s="11">
        <f>SUM(B32:B36)</f>
        <v>92569</v>
      </c>
      <c r="D37" t="s">
        <v>16</v>
      </c>
      <c r="E37">
        <f>SUM(E32:E36)</f>
        <v>1264.3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30" zoomScaleNormal="130" workbookViewId="0">
      <selection activeCell="D7" sqref="D7:D8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1612.56</v>
      </c>
      <c r="C3" s="7">
        <v>2977.26</v>
      </c>
      <c r="D3" s="7">
        <v>2217.23</v>
      </c>
      <c r="E3" s="7"/>
      <c r="F3" s="7">
        <f t="shared" ref="F3:F10" si="0">SUM(B3:E3)</f>
        <v>6807.05</v>
      </c>
      <c r="G3" s="6">
        <f t="shared" ref="G3:G10" si="1">B3+C3</f>
        <v>4589.82</v>
      </c>
      <c r="H3" s="1"/>
      <c r="I3" s="1" t="s">
        <v>9</v>
      </c>
      <c r="J3" s="13">
        <f>F3+F4+F5+F6</f>
        <v>14674.375</v>
      </c>
      <c r="K3" s="14"/>
      <c r="L3" s="1" t="s">
        <v>10</v>
      </c>
      <c r="M3" s="13">
        <f>F7+F8+F9</f>
        <v>13498.9</v>
      </c>
      <c r="N3" s="14"/>
    </row>
    <row r="4" spans="1:14">
      <c r="A4" s="1" t="s">
        <v>11</v>
      </c>
      <c r="B4" s="7">
        <v>1658.08</v>
      </c>
      <c r="C4" s="7">
        <v>2080.4</v>
      </c>
      <c r="D4" s="7">
        <v>392.82</v>
      </c>
      <c r="E4" s="7"/>
      <c r="F4" s="7">
        <f t="shared" si="0"/>
        <v>4131.3</v>
      </c>
      <c r="G4" s="6">
        <f t="shared" si="1"/>
        <v>3738.48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144.15</v>
      </c>
      <c r="D5" s="7"/>
      <c r="E5" s="7"/>
      <c r="F5" s="7">
        <f t="shared" si="0"/>
        <v>144.15</v>
      </c>
      <c r="G5" s="6">
        <f t="shared" si="1"/>
        <v>144.15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3591.875</v>
      </c>
      <c r="C6" s="7"/>
      <c r="D6" s="7"/>
      <c r="E6" s="7"/>
      <c r="F6" s="7">
        <f t="shared" si="0"/>
        <v>3591.875</v>
      </c>
      <c r="G6" s="6">
        <f t="shared" si="1"/>
        <v>3591.875</v>
      </c>
      <c r="H6" s="1"/>
      <c r="I6" s="1"/>
      <c r="J6" s="1" t="s">
        <v>9</v>
      </c>
      <c r="K6" s="13">
        <f>J3</f>
        <v>14674.375</v>
      </c>
      <c r="L6" s="1"/>
      <c r="M6" s="1"/>
      <c r="N6" s="1"/>
    </row>
    <row r="7" spans="1:14">
      <c r="A7" s="1" t="s">
        <v>14</v>
      </c>
      <c r="B7" s="7">
        <v>842.13</v>
      </c>
      <c r="C7" s="7">
        <v>1474.86</v>
      </c>
      <c r="D7" s="7">
        <v>7102.09</v>
      </c>
      <c r="E7" s="7"/>
      <c r="F7" s="7">
        <f t="shared" si="0"/>
        <v>9419.08</v>
      </c>
      <c r="G7" s="6">
        <f t="shared" si="1"/>
        <v>2316.99</v>
      </c>
      <c r="H7" s="1"/>
      <c r="I7" s="1"/>
      <c r="J7" s="1" t="s">
        <v>10</v>
      </c>
      <c r="K7" s="13">
        <f>M3</f>
        <v>13498.9</v>
      </c>
      <c r="L7" s="1"/>
      <c r="M7" s="1"/>
      <c r="N7" s="1"/>
    </row>
    <row r="8" spans="1:14">
      <c r="A8" s="1" t="s">
        <v>15</v>
      </c>
      <c r="B8" s="7"/>
      <c r="C8" s="7">
        <v>2356.82999999998</v>
      </c>
      <c r="D8" s="7">
        <v>1010.74</v>
      </c>
      <c r="E8" s="7"/>
      <c r="F8" s="7">
        <f t="shared" si="0"/>
        <v>3367.56999999998</v>
      </c>
      <c r="G8" s="6">
        <f t="shared" si="1"/>
        <v>2356.82999999998</v>
      </c>
      <c r="H8" s="1"/>
      <c r="I8" s="2"/>
      <c r="J8" s="1" t="s">
        <v>16</v>
      </c>
      <c r="K8" s="7">
        <f>K6+K7</f>
        <v>28173.275</v>
      </c>
      <c r="L8" s="1"/>
      <c r="M8" s="1"/>
      <c r="N8" s="1"/>
    </row>
    <row r="9" spans="1:14">
      <c r="A9" s="1" t="s">
        <v>17</v>
      </c>
      <c r="B9" s="7"/>
      <c r="C9" s="7">
        <v>712.25</v>
      </c>
      <c r="D9" s="7"/>
      <c r="E9" s="7"/>
      <c r="F9" s="7">
        <f t="shared" si="0"/>
        <v>712.25</v>
      </c>
      <c r="G9" s="6">
        <f t="shared" si="1"/>
        <v>712.25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7704.645</v>
      </c>
      <c r="C10" s="7">
        <f>SUM(C3:C9)</f>
        <v>9745.74999999998</v>
      </c>
      <c r="D10" s="7">
        <f>SUM(D3:D9)</f>
        <v>10722.88</v>
      </c>
      <c r="E10" s="7">
        <f>SUM(E3:E9)</f>
        <v>0</v>
      </c>
      <c r="F10" s="7">
        <f t="shared" si="0"/>
        <v>28173.275</v>
      </c>
      <c r="G10" s="6">
        <f t="shared" si="1"/>
        <v>17450.395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61</v>
      </c>
    </row>
    <row r="17" spans="1:5">
      <c r="A17" t="s">
        <v>14</v>
      </c>
      <c r="D17" t="s">
        <v>14</v>
      </c>
      <c r="E17" s="9">
        <v>443</v>
      </c>
    </row>
    <row r="18" spans="1:5">
      <c r="A18" t="s">
        <v>11</v>
      </c>
      <c r="D18" t="s">
        <v>11</v>
      </c>
      <c r="E18" s="9">
        <v>22.5</v>
      </c>
    </row>
    <row r="19" spans="1:5">
      <c r="A19" t="s">
        <v>8</v>
      </c>
      <c r="D19" t="s">
        <v>8</v>
      </c>
      <c r="E19" s="9">
        <v>126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652.5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54062</v>
      </c>
      <c r="D23" t="s">
        <v>17</v>
      </c>
      <c r="E23" s="12">
        <v>84</v>
      </c>
      <c r="F23" s="10"/>
    </row>
    <row r="24" spans="1:5">
      <c r="A24" t="s">
        <v>15</v>
      </c>
      <c r="B24" s="10">
        <v>54582</v>
      </c>
      <c r="D24" t="s">
        <v>15</v>
      </c>
      <c r="E24" s="12">
        <v>591</v>
      </c>
    </row>
    <row r="25" spans="1:5">
      <c r="A25" t="s">
        <v>14</v>
      </c>
      <c r="B25" s="10">
        <v>25768</v>
      </c>
      <c r="D25" t="s">
        <v>14</v>
      </c>
      <c r="E25" s="12">
        <v>124.1</v>
      </c>
    </row>
    <row r="26" spans="1:5">
      <c r="A26" t="s">
        <v>12</v>
      </c>
      <c r="B26" s="10">
        <v>10401</v>
      </c>
      <c r="D26" t="s">
        <v>12</v>
      </c>
      <c r="E26" s="12">
        <v>39.8</v>
      </c>
    </row>
    <row r="27" spans="1:5">
      <c r="A27" t="s">
        <v>11</v>
      </c>
      <c r="B27" s="10">
        <v>26960</v>
      </c>
      <c r="D27" t="s">
        <v>11</v>
      </c>
      <c r="E27" s="12">
        <v>182</v>
      </c>
    </row>
    <row r="28" spans="1:5">
      <c r="A28" t="s">
        <v>8</v>
      </c>
      <c r="B28" s="10">
        <v>74082</v>
      </c>
      <c r="D28" t="s">
        <v>8</v>
      </c>
      <c r="E28" s="12">
        <v>246.200000000001</v>
      </c>
    </row>
    <row r="29" spans="1:5">
      <c r="A29" t="s">
        <v>16</v>
      </c>
      <c r="B29" s="11">
        <f>SUM(B23:B28)</f>
        <v>245855</v>
      </c>
      <c r="D29" t="s">
        <v>16</v>
      </c>
      <c r="E29" s="12">
        <f>SUM(E23:E28)</f>
        <v>1267.1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8227</v>
      </c>
      <c r="D33" t="s">
        <v>14</v>
      </c>
      <c r="E33">
        <v>65</v>
      </c>
    </row>
    <row r="34" spans="1:5">
      <c r="A34" t="s">
        <v>13</v>
      </c>
      <c r="B34" s="10">
        <v>33961</v>
      </c>
      <c r="D34" t="s">
        <v>13</v>
      </c>
      <c r="E34">
        <v>574.7</v>
      </c>
    </row>
    <row r="35" spans="1:5">
      <c r="A35" t="s">
        <v>11</v>
      </c>
      <c r="B35" s="10">
        <v>23360</v>
      </c>
      <c r="D35" t="s">
        <v>11</v>
      </c>
      <c r="E35">
        <v>84.5</v>
      </c>
    </row>
    <row r="36" spans="1:5">
      <c r="A36" t="s">
        <v>8</v>
      </c>
      <c r="B36" s="10">
        <v>27362</v>
      </c>
      <c r="D36" t="s">
        <v>8</v>
      </c>
      <c r="E36" s="12">
        <v>268</v>
      </c>
    </row>
    <row r="37" spans="1:5">
      <c r="A37" t="s">
        <v>16</v>
      </c>
      <c r="B37" s="11">
        <f>SUM(B32:B36)</f>
        <v>92910</v>
      </c>
      <c r="D37" t="s">
        <v>16</v>
      </c>
      <c r="E37">
        <f>SUM(E32:E36)</f>
        <v>992.2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115" zoomScaleNormal="115" topLeftCell="A31" workbookViewId="0">
      <selection activeCell="B37" sqref="B3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257.12</v>
      </c>
      <c r="C3" s="7">
        <v>1909.45</v>
      </c>
      <c r="D3" s="7">
        <v>2132.94</v>
      </c>
      <c r="E3" s="7"/>
      <c r="F3" s="7">
        <f t="shared" ref="F3:F10" si="0">SUM(B3:E3)</f>
        <v>4299.51</v>
      </c>
      <c r="G3" s="6">
        <f t="shared" ref="G3:G10" si="1">B3+C3</f>
        <v>2166.57</v>
      </c>
      <c r="H3" s="1"/>
      <c r="I3" s="1" t="s">
        <v>9</v>
      </c>
      <c r="J3" s="13">
        <f>F3+F4+F5+F6</f>
        <v>11874.765</v>
      </c>
      <c r="K3" s="14"/>
      <c r="L3" s="1" t="s">
        <v>10</v>
      </c>
      <c r="M3" s="13">
        <f>F7+F8+F9</f>
        <v>18646.4899999999</v>
      </c>
      <c r="N3" s="14"/>
    </row>
    <row r="4" spans="1:14">
      <c r="A4" s="1" t="s">
        <v>11</v>
      </c>
      <c r="B4" s="7">
        <v>1025.85</v>
      </c>
      <c r="C4" s="7">
        <v>2720.15</v>
      </c>
      <c r="D4" s="7">
        <v>225.65</v>
      </c>
      <c r="E4" s="7"/>
      <c r="F4" s="7">
        <f t="shared" si="0"/>
        <v>3971.65</v>
      </c>
      <c r="G4" s="6">
        <f t="shared" si="1"/>
        <v>3746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112.98</v>
      </c>
      <c r="D5" s="7"/>
      <c r="E5" s="7"/>
      <c r="F5" s="7">
        <f t="shared" si="0"/>
        <v>112.98</v>
      </c>
      <c r="G5" s="6">
        <f t="shared" si="1"/>
        <v>112.98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3490.625</v>
      </c>
      <c r="C6" s="7"/>
      <c r="D6" s="7"/>
      <c r="E6" s="7"/>
      <c r="F6" s="7">
        <f t="shared" si="0"/>
        <v>3490.625</v>
      </c>
      <c r="G6" s="6">
        <f t="shared" si="1"/>
        <v>3490.625</v>
      </c>
      <c r="H6" s="1"/>
      <c r="I6" s="1"/>
      <c r="J6" s="1" t="s">
        <v>9</v>
      </c>
      <c r="K6" s="13">
        <f>J3</f>
        <v>11874.765</v>
      </c>
      <c r="L6" s="1"/>
      <c r="M6" s="1"/>
      <c r="N6" s="1"/>
    </row>
    <row r="7" spans="1:14">
      <c r="A7" s="1" t="s">
        <v>14</v>
      </c>
      <c r="B7" s="7">
        <v>537.72</v>
      </c>
      <c r="C7" s="7">
        <v>967.44</v>
      </c>
      <c r="D7" s="7">
        <v>14030.1099999999</v>
      </c>
      <c r="E7" s="7"/>
      <c r="F7" s="7">
        <f t="shared" si="0"/>
        <v>15535.2699999999</v>
      </c>
      <c r="G7" s="6">
        <f t="shared" si="1"/>
        <v>1505.16</v>
      </c>
      <c r="H7" s="1"/>
      <c r="I7" s="1"/>
      <c r="J7" s="1" t="s">
        <v>10</v>
      </c>
      <c r="K7" s="13">
        <f>M3</f>
        <v>18646.4899999999</v>
      </c>
      <c r="L7" s="1"/>
      <c r="M7" s="1"/>
      <c r="N7" s="1"/>
    </row>
    <row r="8" spans="1:14">
      <c r="A8" s="1" t="s">
        <v>15</v>
      </c>
      <c r="B8" s="7"/>
      <c r="C8" s="7">
        <v>1987.36999999998</v>
      </c>
      <c r="D8" s="7">
        <v>458.32</v>
      </c>
      <c r="E8" s="7"/>
      <c r="F8" s="7">
        <f t="shared" si="0"/>
        <v>2445.68999999998</v>
      </c>
      <c r="G8" s="6">
        <f t="shared" si="1"/>
        <v>1987.36999999998</v>
      </c>
      <c r="H8" s="1"/>
      <c r="I8" s="2"/>
      <c r="J8" s="1" t="s">
        <v>16</v>
      </c>
      <c r="K8" s="7">
        <f>K6+K7</f>
        <v>30521.2549999999</v>
      </c>
      <c r="L8" s="1"/>
      <c r="M8" s="1"/>
      <c r="N8" s="1"/>
    </row>
    <row r="9" spans="1:14">
      <c r="A9" s="1" t="s">
        <v>17</v>
      </c>
      <c r="B9" s="7"/>
      <c r="C9" s="7">
        <v>665.53</v>
      </c>
      <c r="D9" s="7"/>
      <c r="E9" s="7"/>
      <c r="F9" s="7">
        <f t="shared" si="0"/>
        <v>665.53</v>
      </c>
      <c r="G9" s="6">
        <f t="shared" si="1"/>
        <v>665.53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5311.315</v>
      </c>
      <c r="C10" s="7">
        <f>SUM(C3:C9)</f>
        <v>8362.91999999998</v>
      </c>
      <c r="D10" s="7">
        <f>SUM(D3:D9)</f>
        <v>16847.0199999999</v>
      </c>
      <c r="E10" s="7">
        <f>SUM(E3:E9)</f>
        <v>0</v>
      </c>
      <c r="F10" s="7">
        <f t="shared" si="0"/>
        <v>30521.2549999999</v>
      </c>
      <c r="G10" s="6">
        <f t="shared" si="1"/>
        <v>13674.235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24.5</v>
      </c>
    </row>
    <row r="17" spans="1:5">
      <c r="A17" t="s">
        <v>14</v>
      </c>
      <c r="D17" t="s">
        <v>14</v>
      </c>
      <c r="E17" s="9">
        <v>737</v>
      </c>
    </row>
    <row r="18" spans="1:5">
      <c r="A18" t="s">
        <v>11</v>
      </c>
      <c r="D18" t="s">
        <v>11</v>
      </c>
      <c r="E18" s="9">
        <v>13</v>
      </c>
    </row>
    <row r="19" spans="1:5">
      <c r="A19" t="s">
        <v>8</v>
      </c>
      <c r="D19" t="s">
        <v>8</v>
      </c>
      <c r="E19" s="9">
        <v>113.5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888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57591</v>
      </c>
      <c r="D23" t="s">
        <v>17</v>
      </c>
      <c r="E23" s="12">
        <v>71.5</v>
      </c>
      <c r="F23" s="10"/>
    </row>
    <row r="24" spans="1:5">
      <c r="A24" t="s">
        <v>15</v>
      </c>
      <c r="B24" s="10">
        <v>48678</v>
      </c>
      <c r="D24" t="s">
        <v>15</v>
      </c>
      <c r="E24" s="12">
        <v>517</v>
      </c>
    </row>
    <row r="25" spans="1:5">
      <c r="A25" t="s">
        <v>14</v>
      </c>
      <c r="B25" s="10">
        <v>22929</v>
      </c>
      <c r="D25" t="s">
        <v>14</v>
      </c>
      <c r="E25" s="12">
        <v>119.8</v>
      </c>
    </row>
    <row r="26" spans="1:5">
      <c r="A26" t="s">
        <v>12</v>
      </c>
      <c r="B26" s="10">
        <v>6853</v>
      </c>
      <c r="D26" t="s">
        <v>12</v>
      </c>
      <c r="E26" s="12">
        <v>44</v>
      </c>
    </row>
    <row r="27" spans="1:5">
      <c r="A27" t="s">
        <v>11</v>
      </c>
      <c r="B27" s="10">
        <v>31945</v>
      </c>
      <c r="D27" t="s">
        <v>11</v>
      </c>
      <c r="E27" s="12">
        <v>257.6</v>
      </c>
    </row>
    <row r="28" spans="1:5">
      <c r="A28" t="s">
        <v>8</v>
      </c>
      <c r="B28" s="10">
        <v>41826</v>
      </c>
      <c r="D28" t="s">
        <v>8</v>
      </c>
      <c r="E28" s="12">
        <v>161.000000000001</v>
      </c>
    </row>
    <row r="29" spans="1:5">
      <c r="A29" t="s">
        <v>16</v>
      </c>
      <c r="B29" s="11">
        <f>SUM(B23:B28)</f>
        <v>209822</v>
      </c>
      <c r="D29" t="s">
        <v>16</v>
      </c>
      <c r="E29" s="12">
        <f>SUM(E23:E28)</f>
        <v>1170.9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5828</v>
      </c>
      <c r="D33" t="s">
        <v>14</v>
      </c>
      <c r="E33">
        <v>53</v>
      </c>
    </row>
    <row r="34" spans="1:5">
      <c r="A34" t="s">
        <v>13</v>
      </c>
      <c r="B34" s="10">
        <v>31137</v>
      </c>
      <c r="D34" t="s">
        <v>13</v>
      </c>
      <c r="E34">
        <v>558.5</v>
      </c>
    </row>
    <row r="35" spans="1:5">
      <c r="A35" t="s">
        <v>11</v>
      </c>
      <c r="B35" s="10">
        <v>8646</v>
      </c>
      <c r="D35" t="s">
        <v>11</v>
      </c>
      <c r="E35">
        <v>126</v>
      </c>
    </row>
    <row r="36" spans="1:5">
      <c r="A36" t="s">
        <v>8</v>
      </c>
      <c r="B36" s="10">
        <v>4824</v>
      </c>
      <c r="D36" t="s">
        <v>8</v>
      </c>
      <c r="E36" s="12">
        <v>52</v>
      </c>
    </row>
    <row r="37" spans="1:5">
      <c r="A37" t="s">
        <v>16</v>
      </c>
      <c r="B37" s="11">
        <f>SUM(B32:B36)</f>
        <v>50435</v>
      </c>
      <c r="D37" t="s">
        <v>16</v>
      </c>
      <c r="E37">
        <f>SUM(E32:E36)</f>
        <v>789.5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90" zoomScaleNormal="90" workbookViewId="0">
      <selection activeCell="H24" sqref="H24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272.25</v>
      </c>
      <c r="C3" s="7">
        <v>1318.64</v>
      </c>
      <c r="D3" s="7">
        <v>1264.52</v>
      </c>
      <c r="E3" s="7"/>
      <c r="F3" s="7">
        <f t="shared" ref="F3:F10" si="0">SUM(B3:E3)</f>
        <v>2855.41</v>
      </c>
      <c r="G3" s="6">
        <f t="shared" ref="G3:G10" si="1">B3+C3</f>
        <v>1590.89</v>
      </c>
      <c r="H3" s="1"/>
      <c r="I3" s="1" t="s">
        <v>9</v>
      </c>
      <c r="J3" s="13">
        <f>F3+F4+F5+F6</f>
        <v>7790.48</v>
      </c>
      <c r="K3" s="14"/>
      <c r="L3" s="1" t="s">
        <v>10</v>
      </c>
      <c r="M3" s="13">
        <f>F7+F8+F9</f>
        <v>11126.24</v>
      </c>
      <c r="N3" s="14"/>
    </row>
    <row r="4" spans="1:14">
      <c r="A4" s="1" t="s">
        <v>11</v>
      </c>
      <c r="B4" s="7">
        <v>1099.68</v>
      </c>
      <c r="C4" s="7">
        <v>1504.83</v>
      </c>
      <c r="D4" s="7">
        <v>232.75</v>
      </c>
      <c r="E4" s="7"/>
      <c r="F4" s="7">
        <f t="shared" si="0"/>
        <v>2837.26</v>
      </c>
      <c r="G4" s="6">
        <f t="shared" si="1"/>
        <v>2604.51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/>
      <c r="C5" s="7">
        <v>11.56</v>
      </c>
      <c r="D5" s="7"/>
      <c r="E5" s="7"/>
      <c r="F5" s="7">
        <f t="shared" si="0"/>
        <v>11.56</v>
      </c>
      <c r="G5" s="6">
        <f t="shared" si="1"/>
        <v>11.56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2086.25</v>
      </c>
      <c r="C6" s="7"/>
      <c r="D6" s="7"/>
      <c r="E6" s="7"/>
      <c r="F6" s="7">
        <f t="shared" si="0"/>
        <v>2086.25</v>
      </c>
      <c r="G6" s="6">
        <f t="shared" si="1"/>
        <v>2086.25</v>
      </c>
      <c r="H6" s="1"/>
      <c r="I6" s="1"/>
      <c r="J6" s="1" t="s">
        <v>9</v>
      </c>
      <c r="K6" s="13">
        <f>J3</f>
        <v>7790.48</v>
      </c>
      <c r="L6" s="1"/>
      <c r="M6" s="1"/>
      <c r="N6" s="1"/>
    </row>
    <row r="7" spans="1:14">
      <c r="A7" s="1" t="s">
        <v>14</v>
      </c>
      <c r="B7" s="7">
        <v>750.76</v>
      </c>
      <c r="C7" s="7">
        <v>1551.38</v>
      </c>
      <c r="D7" s="7">
        <v>5764.71</v>
      </c>
      <c r="E7" s="7"/>
      <c r="F7" s="7">
        <f t="shared" si="0"/>
        <v>8066.85</v>
      </c>
      <c r="G7" s="6">
        <f t="shared" si="1"/>
        <v>2302.14</v>
      </c>
      <c r="H7" s="1"/>
      <c r="I7" s="1"/>
      <c r="J7" s="1" t="s">
        <v>10</v>
      </c>
      <c r="K7" s="13">
        <f>M3</f>
        <v>11126.24</v>
      </c>
      <c r="L7" s="1"/>
      <c r="M7" s="1"/>
      <c r="N7" s="1"/>
    </row>
    <row r="8" spans="1:14">
      <c r="A8" s="1" t="s">
        <v>15</v>
      </c>
      <c r="B8" s="7"/>
      <c r="C8" s="7">
        <v>1877.74999999998</v>
      </c>
      <c r="D8" s="7">
        <v>753.49</v>
      </c>
      <c r="E8" s="7"/>
      <c r="F8" s="7">
        <f t="shared" si="0"/>
        <v>2631.23999999998</v>
      </c>
      <c r="G8" s="6">
        <f t="shared" si="1"/>
        <v>1877.74999999998</v>
      </c>
      <c r="H8" s="1"/>
      <c r="I8" s="2"/>
      <c r="J8" s="1" t="s">
        <v>16</v>
      </c>
      <c r="K8" s="7">
        <f>K6+K7</f>
        <v>18916.72</v>
      </c>
      <c r="L8" s="1"/>
      <c r="M8" s="1"/>
      <c r="N8" s="1"/>
    </row>
    <row r="9" spans="1:14">
      <c r="A9" s="1" t="s">
        <v>17</v>
      </c>
      <c r="B9" s="7"/>
      <c r="C9" s="7">
        <v>428.15</v>
      </c>
      <c r="D9" s="7"/>
      <c r="E9" s="7"/>
      <c r="F9" s="7">
        <f t="shared" si="0"/>
        <v>428.15</v>
      </c>
      <c r="G9" s="6">
        <f t="shared" si="1"/>
        <v>428.15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4208.94</v>
      </c>
      <c r="C10" s="7">
        <f>SUM(C3:C9)</f>
        <v>6692.30999999998</v>
      </c>
      <c r="D10" s="7">
        <f>SUM(D3:D9)</f>
        <v>8015.47</v>
      </c>
      <c r="E10" s="7">
        <f>SUM(E3:E9)</f>
        <v>0</v>
      </c>
      <c r="F10" s="7">
        <f t="shared" si="0"/>
        <v>18916.72</v>
      </c>
      <c r="G10" s="6">
        <f t="shared" si="1"/>
        <v>10901.25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>
        <v>45</v>
      </c>
    </row>
    <row r="17" spans="1:5">
      <c r="A17" t="s">
        <v>14</v>
      </c>
      <c r="D17" t="s">
        <v>14</v>
      </c>
      <c r="E17" s="9">
        <v>346.5</v>
      </c>
    </row>
    <row r="18" spans="1:5">
      <c r="A18" t="s">
        <v>11</v>
      </c>
      <c r="D18" t="s">
        <v>11</v>
      </c>
      <c r="E18" s="9">
        <v>12</v>
      </c>
    </row>
    <row r="19" spans="1:5">
      <c r="A19" t="s">
        <v>8</v>
      </c>
      <c r="D19" t="s">
        <v>8</v>
      </c>
      <c r="E19" s="9">
        <v>73.5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477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37692</v>
      </c>
      <c r="D23" t="s">
        <v>17</v>
      </c>
      <c r="E23" s="12">
        <v>47.5</v>
      </c>
      <c r="F23" s="10"/>
    </row>
    <row r="24" spans="1:5">
      <c r="A24" t="s">
        <v>15</v>
      </c>
      <c r="B24" s="10">
        <v>46819</v>
      </c>
      <c r="D24" t="s">
        <v>15</v>
      </c>
      <c r="E24" s="12">
        <v>487</v>
      </c>
    </row>
    <row r="25" spans="1:5">
      <c r="A25" t="s">
        <v>14</v>
      </c>
      <c r="B25" s="10">
        <v>43701</v>
      </c>
      <c r="D25" t="s">
        <v>14</v>
      </c>
      <c r="E25" s="12">
        <v>157</v>
      </c>
    </row>
    <row r="26" spans="1:5">
      <c r="A26" t="s">
        <v>12</v>
      </c>
      <c r="B26" s="10">
        <v>974</v>
      </c>
      <c r="D26" t="s">
        <v>12</v>
      </c>
      <c r="E26" s="12">
        <v>4.5</v>
      </c>
    </row>
    <row r="27" spans="1:5">
      <c r="A27" t="s">
        <v>11</v>
      </c>
      <c r="B27" s="10">
        <v>14359</v>
      </c>
      <c r="D27" t="s">
        <v>11</v>
      </c>
      <c r="E27" s="12">
        <v>149.8</v>
      </c>
    </row>
    <row r="28" spans="1:5">
      <c r="A28" t="s">
        <v>8</v>
      </c>
      <c r="B28" s="10">
        <v>27670</v>
      </c>
      <c r="D28" t="s">
        <v>8</v>
      </c>
      <c r="E28" s="12">
        <v>106.6</v>
      </c>
    </row>
    <row r="29" spans="1:5">
      <c r="A29" t="s">
        <v>16</v>
      </c>
      <c r="B29" s="11">
        <f>SUM(B23:B28)</f>
        <v>171215</v>
      </c>
      <c r="D29" t="s">
        <v>16</v>
      </c>
      <c r="E29" s="12">
        <f>SUM(E23:E28)</f>
        <v>952.4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7546</v>
      </c>
      <c r="D33" t="s">
        <v>14</v>
      </c>
      <c r="E33">
        <v>77</v>
      </c>
    </row>
    <row r="34" spans="1:5">
      <c r="A34" t="s">
        <v>13</v>
      </c>
      <c r="B34" s="10">
        <v>13584</v>
      </c>
      <c r="D34" t="s">
        <v>13</v>
      </c>
      <c r="E34">
        <v>333.8</v>
      </c>
    </row>
    <row r="35" spans="1:5">
      <c r="A35" t="s">
        <v>11</v>
      </c>
      <c r="B35" s="10">
        <v>7754</v>
      </c>
      <c r="D35" t="s">
        <v>11</v>
      </c>
      <c r="E35">
        <v>136</v>
      </c>
    </row>
    <row r="36" spans="1:5">
      <c r="A36" t="s">
        <v>8</v>
      </c>
      <c r="B36" s="10">
        <v>6594</v>
      </c>
      <c r="D36" t="s">
        <v>8</v>
      </c>
      <c r="E36" s="12">
        <v>41</v>
      </c>
    </row>
    <row r="37" spans="1:5">
      <c r="A37" t="s">
        <v>16</v>
      </c>
      <c r="B37" s="11">
        <f>SUM(B32:B36)</f>
        <v>35478</v>
      </c>
      <c r="D37" t="s">
        <v>16</v>
      </c>
      <c r="E37">
        <f>SUM(E32:E36)</f>
        <v>587.8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71" zoomScaleNormal="71" zoomScalePageLayoutView="74" topLeftCell="A19" workbookViewId="0">
      <selection activeCell="F3" sqref="F3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0.1833333333333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1466.02</v>
      </c>
      <c r="C3" s="7">
        <v>2205.1</v>
      </c>
      <c r="D3" s="7">
        <v>1749.35</v>
      </c>
      <c r="E3" s="7"/>
      <c r="F3" s="7">
        <f t="shared" ref="F3:F10" si="0">SUM(B3:E3)</f>
        <v>5420.47</v>
      </c>
      <c r="G3" s="6">
        <f t="shared" ref="G3:G10" si="1">B3+C3</f>
        <v>3671.12</v>
      </c>
      <c r="H3" s="1"/>
      <c r="I3" s="1" t="s">
        <v>9</v>
      </c>
      <c r="J3" s="13">
        <f>F3+F4+F5+F6</f>
        <v>11928.72</v>
      </c>
      <c r="K3" s="14"/>
      <c r="L3" s="1" t="s">
        <v>10</v>
      </c>
      <c r="M3" s="13">
        <f>F7+F8+F9</f>
        <v>7384.98999999999</v>
      </c>
      <c r="N3" s="14"/>
    </row>
    <row r="4" spans="1:14">
      <c r="A4" s="1" t="s">
        <v>11</v>
      </c>
      <c r="B4" s="7">
        <v>1602.01</v>
      </c>
      <c r="C4" s="7">
        <v>1037.84</v>
      </c>
      <c r="D4" s="7">
        <v>302.43</v>
      </c>
      <c r="E4" s="7"/>
      <c r="F4" s="7">
        <f t="shared" si="0"/>
        <v>2942.28</v>
      </c>
      <c r="G4" s="6">
        <f t="shared" si="1"/>
        <v>2639.85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/>
      <c r="C5" s="7">
        <v>27.22</v>
      </c>
      <c r="D5" s="7"/>
      <c r="E5" s="7"/>
      <c r="F5" s="7">
        <f t="shared" si="0"/>
        <v>27.22</v>
      </c>
      <c r="G5" s="6">
        <f t="shared" si="1"/>
        <v>27.22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3538.75</v>
      </c>
      <c r="C6" s="7"/>
      <c r="D6" s="7"/>
      <c r="E6" s="7"/>
      <c r="F6" s="7">
        <f t="shared" si="0"/>
        <v>3538.75</v>
      </c>
      <c r="G6" s="6">
        <f t="shared" si="1"/>
        <v>3538.75</v>
      </c>
      <c r="H6" s="1"/>
      <c r="I6" s="1"/>
      <c r="J6" s="1" t="s">
        <v>9</v>
      </c>
      <c r="K6" s="13">
        <f>J3</f>
        <v>11928.72</v>
      </c>
      <c r="L6" s="1"/>
      <c r="M6" s="1"/>
      <c r="N6" s="1"/>
    </row>
    <row r="7" spans="1:14">
      <c r="A7" s="1" t="s">
        <v>14</v>
      </c>
      <c r="B7" s="7">
        <v>588.43</v>
      </c>
      <c r="C7" s="7">
        <v>575.94</v>
      </c>
      <c r="D7" s="7">
        <v>3774.81</v>
      </c>
      <c r="E7" s="7"/>
      <c r="F7" s="7">
        <f t="shared" si="0"/>
        <v>4939.18</v>
      </c>
      <c r="G7" s="6">
        <f t="shared" si="1"/>
        <v>1164.37</v>
      </c>
      <c r="H7" s="1"/>
      <c r="I7" s="1"/>
      <c r="J7" s="1" t="s">
        <v>10</v>
      </c>
      <c r="K7" s="13">
        <f>M3</f>
        <v>7384.98999999999</v>
      </c>
      <c r="L7" s="1"/>
      <c r="M7" s="1"/>
      <c r="N7" s="1"/>
    </row>
    <row r="8" spans="1:14">
      <c r="A8" s="1" t="s">
        <v>15</v>
      </c>
      <c r="B8" s="7"/>
      <c r="C8" s="7">
        <v>1406.78999999999</v>
      </c>
      <c r="D8" s="7">
        <v>654.52</v>
      </c>
      <c r="E8" s="7"/>
      <c r="F8" s="7">
        <f t="shared" si="0"/>
        <v>2061.30999999999</v>
      </c>
      <c r="G8" s="6">
        <f t="shared" si="1"/>
        <v>1406.78999999999</v>
      </c>
      <c r="H8" s="1"/>
      <c r="I8" s="2"/>
      <c r="J8" s="1" t="s">
        <v>16</v>
      </c>
      <c r="K8" s="7">
        <f>K6+K7</f>
        <v>19313.71</v>
      </c>
      <c r="L8" s="1"/>
      <c r="M8" s="1"/>
      <c r="N8" s="1"/>
    </row>
    <row r="9" spans="1:14">
      <c r="A9" s="1" t="s">
        <v>17</v>
      </c>
      <c r="B9" s="7"/>
      <c r="C9" s="7">
        <v>384.5</v>
      </c>
      <c r="D9" s="7"/>
      <c r="E9" s="7"/>
      <c r="F9" s="7">
        <f t="shared" si="0"/>
        <v>384.5</v>
      </c>
      <c r="G9" s="6">
        <f t="shared" si="1"/>
        <v>384.5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7195.21</v>
      </c>
      <c r="C10" s="7">
        <f>SUM(C3:C9)</f>
        <v>5637.38999999999</v>
      </c>
      <c r="D10" s="7">
        <f>SUM(D3:D9)</f>
        <v>6481.11</v>
      </c>
      <c r="E10" s="7">
        <f>SUM(E3:E9)</f>
        <v>0</v>
      </c>
      <c r="F10" s="7">
        <f t="shared" si="0"/>
        <v>19313.71</v>
      </c>
      <c r="G10" s="6">
        <f t="shared" si="1"/>
        <v>12832.6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9">
        <v>41</v>
      </c>
    </row>
    <row r="17" spans="1:5">
      <c r="A17" t="s">
        <v>14</v>
      </c>
      <c r="D17" t="s">
        <v>14</v>
      </c>
      <c r="E17" s="9">
        <v>233.5</v>
      </c>
    </row>
    <row r="18" spans="1:5">
      <c r="A18" t="s">
        <v>11</v>
      </c>
      <c r="D18" t="s">
        <v>11</v>
      </c>
      <c r="E18" s="9">
        <v>16</v>
      </c>
    </row>
    <row r="19" spans="1:5">
      <c r="A19" t="s">
        <v>8</v>
      </c>
      <c r="D19" t="s">
        <v>8</v>
      </c>
      <c r="E19" s="9">
        <v>102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392.5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33956</v>
      </c>
      <c r="D23" t="s">
        <v>17</v>
      </c>
      <c r="E23" s="12">
        <v>42</v>
      </c>
      <c r="F23" s="10"/>
    </row>
    <row r="24" spans="1:5">
      <c r="A24" t="s">
        <v>15</v>
      </c>
      <c r="B24" s="10">
        <v>37106</v>
      </c>
      <c r="D24" t="s">
        <v>15</v>
      </c>
      <c r="E24" s="12">
        <v>360</v>
      </c>
    </row>
    <row r="25" spans="1:5">
      <c r="A25" t="s">
        <v>14</v>
      </c>
      <c r="B25" s="10">
        <v>12269</v>
      </c>
      <c r="D25" t="s">
        <v>14</v>
      </c>
      <c r="E25" s="12">
        <v>81.1</v>
      </c>
    </row>
    <row r="26" spans="1:5">
      <c r="A26" t="s">
        <v>12</v>
      </c>
      <c r="B26" s="10">
        <v>4734</v>
      </c>
      <c r="D26" t="s">
        <v>12</v>
      </c>
      <c r="E26" s="12">
        <v>10.6</v>
      </c>
    </row>
    <row r="27" spans="1:5">
      <c r="A27" t="s">
        <v>11</v>
      </c>
      <c r="B27" s="10">
        <v>21991</v>
      </c>
      <c r="D27" t="s">
        <v>11</v>
      </c>
      <c r="E27" s="12">
        <v>149.5</v>
      </c>
    </row>
    <row r="28" spans="1:5">
      <c r="A28" t="s">
        <v>8</v>
      </c>
      <c r="B28" s="10">
        <v>44938</v>
      </c>
      <c r="D28" t="s">
        <v>8</v>
      </c>
      <c r="E28" s="12">
        <v>159.200000000001</v>
      </c>
    </row>
    <row r="29" spans="1:5">
      <c r="A29" t="s">
        <v>16</v>
      </c>
      <c r="B29" s="11">
        <f>SUM(B23:B28)</f>
        <v>154994</v>
      </c>
      <c r="D29" t="s">
        <v>16</v>
      </c>
      <c r="E29" s="12">
        <f>SUM(E23:E28)</f>
        <v>802.400000000001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4888</v>
      </c>
      <c r="D33" t="s">
        <v>14</v>
      </c>
      <c r="E33">
        <v>58</v>
      </c>
    </row>
    <row r="34" spans="1:5">
      <c r="A34" t="s">
        <v>13</v>
      </c>
      <c r="B34" s="10">
        <v>28750</v>
      </c>
      <c r="D34" t="s">
        <v>13</v>
      </c>
      <c r="E34">
        <v>566.2</v>
      </c>
    </row>
    <row r="35" spans="1:5">
      <c r="A35" t="s">
        <v>11</v>
      </c>
      <c r="B35" s="10">
        <v>10833</v>
      </c>
      <c r="D35" t="s">
        <v>11</v>
      </c>
      <c r="E35">
        <v>200</v>
      </c>
    </row>
    <row r="36" spans="1:5">
      <c r="A36" t="s">
        <v>8</v>
      </c>
      <c r="B36" s="10">
        <v>32440</v>
      </c>
      <c r="D36" t="s">
        <v>8</v>
      </c>
      <c r="E36" s="12">
        <v>264.5</v>
      </c>
    </row>
    <row r="37" spans="1:5">
      <c r="A37" t="s">
        <v>16</v>
      </c>
      <c r="B37" s="11">
        <f>SUM(B32:B36)</f>
        <v>76911</v>
      </c>
      <c r="D37" t="s">
        <v>16</v>
      </c>
      <c r="E37">
        <f>SUM(E32:E36)</f>
        <v>1088.7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="65" zoomScaleNormal="65" zoomScalePageLayoutView="74" topLeftCell="A19" workbookViewId="0">
      <selection activeCell="M17" sqref="M1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0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3264.41</v>
      </c>
      <c r="C3" s="7">
        <v>1930.01</v>
      </c>
      <c r="D3" s="7">
        <v>1760.93</v>
      </c>
      <c r="E3" s="7"/>
      <c r="F3" s="7">
        <f t="shared" ref="F3:F10" si="0">SUM(B3:E3)</f>
        <v>6955.35</v>
      </c>
      <c r="G3" s="6">
        <f t="shared" ref="G3:G10" si="1">B3+C3</f>
        <v>5194.42</v>
      </c>
      <c r="H3" s="1"/>
      <c r="I3" s="1" t="s">
        <v>9</v>
      </c>
      <c r="J3" s="13">
        <f>F3+F4+F5+F6</f>
        <v>13378.715</v>
      </c>
      <c r="K3" s="14"/>
      <c r="L3" s="1" t="s">
        <v>10</v>
      </c>
      <c r="M3" s="13">
        <f>F7+F8+F9</f>
        <v>12198.07</v>
      </c>
      <c r="N3" s="14"/>
    </row>
    <row r="4" spans="1:14">
      <c r="A4" s="1" t="s">
        <v>11</v>
      </c>
      <c r="B4" s="7">
        <v>2586.4</v>
      </c>
      <c r="C4" s="7">
        <v>346.14</v>
      </c>
      <c r="D4" s="7">
        <v>244.6</v>
      </c>
      <c r="E4" s="7"/>
      <c r="F4" s="7">
        <f t="shared" si="0"/>
        <v>3177.14</v>
      </c>
      <c r="G4" s="6">
        <f t="shared" si="1"/>
        <v>2932.54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7"/>
      <c r="C5" s="7">
        <v>23.1</v>
      </c>
      <c r="D5" s="7"/>
      <c r="E5" s="7"/>
      <c r="F5" s="7">
        <f t="shared" si="0"/>
        <v>23.1</v>
      </c>
      <c r="G5" s="6">
        <f t="shared" si="1"/>
        <v>23.1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3223.125</v>
      </c>
      <c r="C6" s="7"/>
      <c r="D6" s="7"/>
      <c r="E6" s="7"/>
      <c r="F6" s="7">
        <f t="shared" si="0"/>
        <v>3223.125</v>
      </c>
      <c r="G6" s="6">
        <f t="shared" si="1"/>
        <v>3223.125</v>
      </c>
      <c r="H6" s="1"/>
      <c r="I6" s="1"/>
      <c r="J6" s="1" t="s">
        <v>9</v>
      </c>
      <c r="K6" s="13">
        <f>J3</f>
        <v>13378.715</v>
      </c>
      <c r="L6" s="1"/>
      <c r="M6" s="1"/>
      <c r="N6" s="1"/>
    </row>
    <row r="7" spans="1:14">
      <c r="A7" s="1" t="s">
        <v>14</v>
      </c>
      <c r="B7" s="7">
        <v>976.020000000001</v>
      </c>
      <c r="C7" s="7">
        <v>1974.53</v>
      </c>
      <c r="D7" s="7">
        <v>5567.96</v>
      </c>
      <c r="E7" s="7"/>
      <c r="F7" s="7">
        <f t="shared" si="0"/>
        <v>8518.51</v>
      </c>
      <c r="G7" s="6">
        <f t="shared" si="1"/>
        <v>2950.55</v>
      </c>
      <c r="H7" s="1"/>
      <c r="I7" s="1"/>
      <c r="J7" s="1" t="s">
        <v>10</v>
      </c>
      <c r="K7" s="13">
        <f>M3</f>
        <v>12198.07</v>
      </c>
      <c r="L7" s="1"/>
      <c r="M7" s="1"/>
      <c r="N7" s="1"/>
    </row>
    <row r="8" spans="1:14">
      <c r="A8" s="1" t="s">
        <v>15</v>
      </c>
      <c r="B8" s="7"/>
      <c r="C8" s="7">
        <v>2096.98999999998</v>
      </c>
      <c r="D8" s="7">
        <v>996.17</v>
      </c>
      <c r="E8" s="7"/>
      <c r="F8" s="7">
        <f t="shared" si="0"/>
        <v>3093.15999999998</v>
      </c>
      <c r="G8" s="6">
        <f t="shared" si="1"/>
        <v>2096.98999999998</v>
      </c>
      <c r="H8" s="1"/>
      <c r="I8" s="2"/>
      <c r="J8" s="1" t="s">
        <v>16</v>
      </c>
      <c r="K8" s="7">
        <f>K6+K7</f>
        <v>25576.785</v>
      </c>
      <c r="L8" s="1"/>
      <c r="M8" s="1"/>
      <c r="N8" s="1"/>
    </row>
    <row r="9" spans="1:14">
      <c r="A9" s="1" t="s">
        <v>17</v>
      </c>
      <c r="B9" s="7"/>
      <c r="C9" s="7">
        <v>586.4</v>
      </c>
      <c r="D9" s="7"/>
      <c r="E9" s="7"/>
      <c r="F9" s="7">
        <f t="shared" si="0"/>
        <v>586.4</v>
      </c>
      <c r="G9" s="6">
        <f t="shared" si="1"/>
        <v>586.4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10049.955</v>
      </c>
      <c r="C10" s="7">
        <f>SUM(C3:C9)</f>
        <v>6957.16999999998</v>
      </c>
      <c r="D10" s="7">
        <f>SUM(D3:D9)</f>
        <v>8569.66</v>
      </c>
      <c r="E10" s="7">
        <f>SUM(E3:E9)</f>
        <v>0</v>
      </c>
      <c r="F10" s="7">
        <f t="shared" si="0"/>
        <v>25576.785</v>
      </c>
      <c r="G10" s="6">
        <f t="shared" si="1"/>
        <v>17007.125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9">
        <v>60.5</v>
      </c>
    </row>
    <row r="17" spans="1:5">
      <c r="A17" t="s">
        <v>14</v>
      </c>
      <c r="D17" t="s">
        <v>14</v>
      </c>
      <c r="E17" s="9">
        <v>346</v>
      </c>
    </row>
    <row r="18" spans="1:5">
      <c r="A18" t="s">
        <v>11</v>
      </c>
      <c r="D18" t="s">
        <v>11</v>
      </c>
      <c r="E18" s="9">
        <v>13.5</v>
      </c>
    </row>
    <row r="19" spans="1:5">
      <c r="A19" t="s">
        <v>8</v>
      </c>
      <c r="D19" t="s">
        <v>8</v>
      </c>
      <c r="E19" s="9">
        <v>95.5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515.5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51611</v>
      </c>
      <c r="D23" t="s">
        <v>17</v>
      </c>
      <c r="E23" s="12">
        <v>63</v>
      </c>
      <c r="F23" s="10"/>
    </row>
    <row r="24" spans="1:5">
      <c r="A24" t="s">
        <v>15</v>
      </c>
      <c r="B24" s="10">
        <v>53009</v>
      </c>
      <c r="D24" t="s">
        <v>15</v>
      </c>
      <c r="E24" s="12">
        <v>541</v>
      </c>
    </row>
    <row r="25" spans="1:5">
      <c r="A25" t="s">
        <v>14</v>
      </c>
      <c r="B25" s="10">
        <v>37045</v>
      </c>
      <c r="D25" t="s">
        <v>14</v>
      </c>
      <c r="E25" s="12">
        <v>214.7</v>
      </c>
    </row>
    <row r="26" spans="1:5">
      <c r="A26" t="s">
        <v>12</v>
      </c>
      <c r="B26" s="10">
        <v>1924</v>
      </c>
      <c r="D26" t="s">
        <v>12</v>
      </c>
      <c r="E26" s="12">
        <v>9</v>
      </c>
    </row>
    <row r="27" spans="1:5">
      <c r="A27" t="s">
        <v>11</v>
      </c>
      <c r="B27" s="10">
        <v>10590</v>
      </c>
      <c r="D27" t="s">
        <v>11</v>
      </c>
      <c r="E27" s="12">
        <v>84</v>
      </c>
    </row>
    <row r="28" spans="1:5">
      <c r="A28" t="s">
        <v>8</v>
      </c>
      <c r="B28" s="10">
        <v>39674</v>
      </c>
      <c r="D28" t="s">
        <v>8</v>
      </c>
      <c r="E28" s="12">
        <v>153.400000000001</v>
      </c>
    </row>
    <row r="29" spans="1:5">
      <c r="A29" t="s">
        <v>16</v>
      </c>
      <c r="B29" s="11">
        <f>SUM(B23:B28)</f>
        <v>193853</v>
      </c>
      <c r="D29" t="s">
        <v>16</v>
      </c>
      <c r="E29" s="12">
        <f>SUM(E23:E28)</f>
        <v>1065.1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8547</v>
      </c>
      <c r="D33" t="s">
        <v>14</v>
      </c>
      <c r="E33">
        <v>97</v>
      </c>
    </row>
    <row r="34" spans="1:5">
      <c r="A34" t="s">
        <v>13</v>
      </c>
      <c r="B34" s="10">
        <v>23770</v>
      </c>
      <c r="D34" t="s">
        <v>13</v>
      </c>
      <c r="E34">
        <v>515.7</v>
      </c>
    </row>
    <row r="35" spans="1:5">
      <c r="A35" t="s">
        <v>11</v>
      </c>
      <c r="B35" s="10">
        <v>24706</v>
      </c>
      <c r="D35" t="s">
        <v>11</v>
      </c>
      <c r="E35">
        <v>224.5</v>
      </c>
    </row>
    <row r="36" spans="1:5">
      <c r="A36" t="s">
        <v>8</v>
      </c>
      <c r="B36" s="10">
        <v>106861</v>
      </c>
      <c r="D36" t="s">
        <v>8</v>
      </c>
      <c r="E36" s="12">
        <v>441.5</v>
      </c>
    </row>
    <row r="37" spans="1:5">
      <c r="A37" t="s">
        <v>16</v>
      </c>
      <c r="B37" s="11">
        <f>SUM(B32:B36)</f>
        <v>163884</v>
      </c>
      <c r="D37" t="s">
        <v>16</v>
      </c>
      <c r="E37">
        <f>SUM(E32:E36)</f>
        <v>1278.7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PageLayoutView="74" topLeftCell="A2" workbookViewId="0">
      <selection activeCell="A27" sqref="A27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1.725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3864.92</v>
      </c>
      <c r="C3" s="7">
        <v>1540.76</v>
      </c>
      <c r="D3" s="7">
        <v>1601</v>
      </c>
      <c r="E3" s="7"/>
      <c r="F3" s="7">
        <f t="shared" ref="F3:F10" si="0">SUM(B3:E3)</f>
        <v>7006.68</v>
      </c>
      <c r="G3" s="6">
        <f t="shared" ref="G3:G10" si="1">B3+C3</f>
        <v>5405.68</v>
      </c>
      <c r="H3" s="1"/>
      <c r="I3" s="1" t="s">
        <v>9</v>
      </c>
      <c r="J3" s="13">
        <f>F3+F4+F5+F6</f>
        <v>14630.165</v>
      </c>
      <c r="K3" s="14"/>
      <c r="L3" s="1" t="s">
        <v>10</v>
      </c>
      <c r="M3" s="13">
        <f>F7+F8+F9</f>
        <v>10431.15</v>
      </c>
      <c r="N3" s="14"/>
    </row>
    <row r="4" spans="1:14">
      <c r="A4" s="1" t="s">
        <v>11</v>
      </c>
      <c r="B4" s="7">
        <v>2437.89</v>
      </c>
      <c r="C4" s="7">
        <v>480.16</v>
      </c>
      <c r="D4" s="7">
        <v>1272.26</v>
      </c>
      <c r="E4" s="7"/>
      <c r="F4" s="7">
        <f t="shared" si="0"/>
        <v>4190.31</v>
      </c>
      <c r="G4" s="6">
        <f t="shared" si="1"/>
        <v>2918.05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8"/>
      <c r="C5" s="7">
        <v>21.3</v>
      </c>
      <c r="D5" s="7"/>
      <c r="E5" s="7"/>
      <c r="F5" s="7">
        <f t="shared" si="0"/>
        <v>21.3</v>
      </c>
      <c r="G5" s="6">
        <f t="shared" si="1"/>
        <v>21.3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3411.875</v>
      </c>
      <c r="C6" s="7"/>
      <c r="D6" s="7"/>
      <c r="E6" s="7"/>
      <c r="F6" s="7">
        <f t="shared" si="0"/>
        <v>3411.875</v>
      </c>
      <c r="G6" s="6">
        <f t="shared" si="1"/>
        <v>3411.875</v>
      </c>
      <c r="H6" s="1"/>
      <c r="I6" s="1"/>
      <c r="J6" s="1" t="s">
        <v>9</v>
      </c>
      <c r="K6" s="13">
        <f>J3</f>
        <v>14630.165</v>
      </c>
      <c r="L6" s="1"/>
      <c r="M6" s="1"/>
      <c r="N6" s="1"/>
    </row>
    <row r="7" spans="1:14">
      <c r="A7" s="1" t="s">
        <v>14</v>
      </c>
      <c r="B7" s="7">
        <v>913.11</v>
      </c>
      <c r="C7" s="7">
        <v>1985.88</v>
      </c>
      <c r="D7" s="7">
        <v>4234.01</v>
      </c>
      <c r="E7" s="7"/>
      <c r="F7" s="7">
        <f t="shared" si="0"/>
        <v>7133</v>
      </c>
      <c r="G7" s="6">
        <f t="shared" si="1"/>
        <v>2898.99</v>
      </c>
      <c r="H7" s="1"/>
      <c r="I7" s="1"/>
      <c r="J7" s="1" t="s">
        <v>10</v>
      </c>
      <c r="K7" s="13">
        <f>M3</f>
        <v>10431.15</v>
      </c>
      <c r="L7" s="1"/>
      <c r="M7" s="1"/>
      <c r="N7" s="1"/>
    </row>
    <row r="8" spans="1:14">
      <c r="A8" s="1" t="s">
        <v>15</v>
      </c>
      <c r="B8" s="8"/>
      <c r="C8" s="7">
        <v>1983.30999999998</v>
      </c>
      <c r="D8" s="7">
        <v>810.59</v>
      </c>
      <c r="E8" s="7"/>
      <c r="F8" s="7">
        <f t="shared" si="0"/>
        <v>2793.89999999998</v>
      </c>
      <c r="G8" s="6">
        <f t="shared" si="1"/>
        <v>1983.30999999998</v>
      </c>
      <c r="H8" s="1"/>
      <c r="I8" s="2"/>
      <c r="J8" s="1" t="s">
        <v>16</v>
      </c>
      <c r="K8" s="7">
        <f>K6+K7</f>
        <v>25061.315</v>
      </c>
      <c r="L8" s="1"/>
      <c r="M8" s="1"/>
      <c r="N8" s="1"/>
    </row>
    <row r="9" spans="1:14">
      <c r="A9" s="1" t="s">
        <v>17</v>
      </c>
      <c r="B9" s="8"/>
      <c r="C9" s="7">
        <v>504.25</v>
      </c>
      <c r="D9" s="7"/>
      <c r="E9" s="7"/>
      <c r="F9" s="7">
        <f t="shared" si="0"/>
        <v>504.25</v>
      </c>
      <c r="G9" s="6">
        <f t="shared" si="1"/>
        <v>504.25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10627.795</v>
      </c>
      <c r="C10" s="7">
        <f>SUM(C3:C9)</f>
        <v>6515.65999999998</v>
      </c>
      <c r="D10" s="7">
        <f>SUM(D3:D9)</f>
        <v>7917.86</v>
      </c>
      <c r="E10" s="7">
        <f>SUM(E3:E9)</f>
        <v>0</v>
      </c>
      <c r="F10" s="7">
        <f t="shared" si="0"/>
        <v>25061.315</v>
      </c>
      <c r="G10" s="6">
        <f t="shared" si="1"/>
        <v>17143.455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9">
        <v>47.5</v>
      </c>
    </row>
    <row r="17" spans="1:5">
      <c r="A17" t="s">
        <v>14</v>
      </c>
      <c r="D17" t="s">
        <v>14</v>
      </c>
      <c r="E17" s="9">
        <v>261.5</v>
      </c>
    </row>
    <row r="18" spans="1:5">
      <c r="A18" t="s">
        <v>11</v>
      </c>
      <c r="D18" t="s">
        <v>11</v>
      </c>
      <c r="E18" s="9">
        <v>66</v>
      </c>
    </row>
    <row r="19" spans="1:5">
      <c r="A19" t="s">
        <v>8</v>
      </c>
      <c r="D19" t="s">
        <v>8</v>
      </c>
      <c r="E19" s="9">
        <v>85.5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460.5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38285</v>
      </c>
      <c r="D23" t="s">
        <v>17</v>
      </c>
      <c r="E23" s="12">
        <v>55</v>
      </c>
      <c r="F23" s="10"/>
    </row>
    <row r="24" spans="1:5">
      <c r="A24" t="s">
        <v>15</v>
      </c>
      <c r="B24" s="10">
        <v>50036</v>
      </c>
      <c r="D24" t="s">
        <v>15</v>
      </c>
      <c r="E24" s="12">
        <v>509</v>
      </c>
    </row>
    <row r="25" spans="1:5">
      <c r="A25" t="s">
        <v>14</v>
      </c>
      <c r="B25" s="10">
        <v>33486</v>
      </c>
      <c r="D25" t="s">
        <v>14</v>
      </c>
      <c r="E25" s="12">
        <v>176.1</v>
      </c>
    </row>
    <row r="26" spans="1:5">
      <c r="A26" t="s">
        <v>12</v>
      </c>
      <c r="B26" s="10">
        <v>1605</v>
      </c>
      <c r="D26" t="s">
        <v>12</v>
      </c>
      <c r="E26" s="12">
        <v>8.3</v>
      </c>
    </row>
    <row r="27" spans="1:5">
      <c r="A27" t="s">
        <v>11</v>
      </c>
      <c r="B27" s="10">
        <v>12106</v>
      </c>
      <c r="D27" t="s">
        <v>11</v>
      </c>
      <c r="E27" s="12">
        <v>100.3</v>
      </c>
    </row>
    <row r="28" spans="1:5">
      <c r="A28" t="s">
        <v>8</v>
      </c>
      <c r="B28" s="10">
        <v>42748</v>
      </c>
      <c r="D28" t="s">
        <v>8</v>
      </c>
      <c r="E28" s="12">
        <v>163.800000000001</v>
      </c>
    </row>
    <row r="29" spans="1:5">
      <c r="A29" t="s">
        <v>16</v>
      </c>
      <c r="B29" s="11">
        <f>SUM(B23:B28)</f>
        <v>178266</v>
      </c>
      <c r="D29" t="s">
        <v>16</v>
      </c>
      <c r="E29" s="12">
        <f>SUM(E23:E28)</f>
        <v>1012.5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8367</v>
      </c>
      <c r="D33" t="s">
        <v>14</v>
      </c>
      <c r="E33">
        <v>90</v>
      </c>
    </row>
    <row r="34" spans="1:5">
      <c r="A34" t="s">
        <v>13</v>
      </c>
      <c r="B34" s="10">
        <v>21646</v>
      </c>
      <c r="D34" t="s">
        <v>13</v>
      </c>
      <c r="E34">
        <v>545.9</v>
      </c>
    </row>
    <row r="35" spans="1:5">
      <c r="A35" t="s">
        <v>11</v>
      </c>
      <c r="B35" s="10">
        <v>26459</v>
      </c>
      <c r="D35" t="s">
        <v>11</v>
      </c>
      <c r="E35">
        <v>205</v>
      </c>
    </row>
    <row r="36" spans="1:5">
      <c r="A36" t="s">
        <v>8</v>
      </c>
      <c r="B36" s="10">
        <v>147697</v>
      </c>
      <c r="D36" t="s">
        <v>8</v>
      </c>
      <c r="E36" s="12">
        <v>466.5</v>
      </c>
    </row>
    <row r="37" spans="1:5">
      <c r="A37" t="s">
        <v>16</v>
      </c>
      <c r="B37" s="11">
        <f>SUM(B32:B36)</f>
        <v>204169</v>
      </c>
      <c r="D37" t="s">
        <v>16</v>
      </c>
      <c r="E37">
        <f>SUM(E32:E36)</f>
        <v>1307.4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zoomScalePageLayoutView="74" workbookViewId="0">
      <selection activeCell="P25" sqref="P25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1.725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7">
        <v>2939.94</v>
      </c>
      <c r="C3" s="7">
        <v>1665.47</v>
      </c>
      <c r="D3" s="7">
        <v>2020.65</v>
      </c>
      <c r="E3" s="7"/>
      <c r="F3" s="7">
        <f t="shared" ref="F3:F10" si="0">SUM(B3:E3)</f>
        <v>6626.06</v>
      </c>
      <c r="G3" s="6">
        <f>B3+C3</f>
        <v>4605.41</v>
      </c>
      <c r="H3" s="1"/>
      <c r="I3" s="1" t="s">
        <v>9</v>
      </c>
      <c r="J3" s="13">
        <f>F3+F4+F5+F6</f>
        <v>14711.51</v>
      </c>
      <c r="K3" s="14"/>
      <c r="L3" s="1" t="s">
        <v>10</v>
      </c>
      <c r="M3" s="13">
        <f>F7+F8+F9</f>
        <v>11080.89</v>
      </c>
      <c r="N3" s="14"/>
    </row>
    <row r="4" spans="1:14">
      <c r="A4" s="1" t="s">
        <v>11</v>
      </c>
      <c r="B4" s="7">
        <v>2479.52</v>
      </c>
      <c r="C4" s="7">
        <v>1368.22</v>
      </c>
      <c r="D4" s="7">
        <v>711.01</v>
      </c>
      <c r="E4" s="7"/>
      <c r="F4" s="7">
        <f t="shared" si="0"/>
        <v>4558.75</v>
      </c>
      <c r="G4" s="6">
        <f>B4+C4</f>
        <v>3847.74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C5" s="7">
        <v>26.7</v>
      </c>
      <c r="D5" s="7"/>
      <c r="E5" s="7"/>
      <c r="F5" s="7">
        <f t="shared" si="0"/>
        <v>26.7</v>
      </c>
      <c r="G5" s="6">
        <f>B6+C5</f>
        <v>3526.7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7">
        <v>3500</v>
      </c>
      <c r="C6" s="7"/>
      <c r="D6" s="7"/>
      <c r="E6" s="7"/>
      <c r="F6" s="7">
        <f t="shared" si="0"/>
        <v>3500</v>
      </c>
      <c r="G6" s="6">
        <f>B6+C6</f>
        <v>3500</v>
      </c>
      <c r="H6" s="1"/>
      <c r="I6" s="1"/>
      <c r="J6" s="1" t="s">
        <v>9</v>
      </c>
      <c r="K6" s="13">
        <f>J3</f>
        <v>14711.51</v>
      </c>
      <c r="L6" s="1"/>
      <c r="M6" s="1"/>
      <c r="N6" s="1"/>
    </row>
    <row r="7" spans="1:14">
      <c r="A7" s="1" t="s">
        <v>14</v>
      </c>
      <c r="B7" s="7">
        <v>1044.99</v>
      </c>
      <c r="C7" s="7">
        <v>1544.96</v>
      </c>
      <c r="D7" s="7">
        <v>5279.18999999999</v>
      </c>
      <c r="E7" s="7"/>
      <c r="F7" s="7">
        <f t="shared" si="0"/>
        <v>7869.13999999999</v>
      </c>
      <c r="G7" s="6">
        <f>B7+C7</f>
        <v>2589.95</v>
      </c>
      <c r="H7" s="1"/>
      <c r="I7" s="1"/>
      <c r="J7" s="1" t="s">
        <v>10</v>
      </c>
      <c r="K7" s="13">
        <f>M3</f>
        <v>11080.89</v>
      </c>
      <c r="L7" s="1"/>
      <c r="M7" s="1"/>
      <c r="N7" s="1"/>
    </row>
    <row r="8" spans="1:14">
      <c r="A8" s="1" t="s">
        <v>15</v>
      </c>
      <c r="B8" s="8"/>
      <c r="C8" s="7">
        <v>2076.68999999998</v>
      </c>
      <c r="D8" s="7">
        <v>628.78</v>
      </c>
      <c r="E8" s="7"/>
      <c r="F8" s="7">
        <f t="shared" si="0"/>
        <v>2705.46999999998</v>
      </c>
      <c r="G8" s="6">
        <f>B8+C8</f>
        <v>2076.68999999998</v>
      </c>
      <c r="H8" s="1"/>
      <c r="I8" s="2"/>
      <c r="J8" s="1" t="s">
        <v>16</v>
      </c>
      <c r="K8" s="7">
        <f>K6+K7</f>
        <v>25792.4</v>
      </c>
      <c r="L8" s="1"/>
      <c r="M8" s="1"/>
      <c r="N8" s="1"/>
    </row>
    <row r="9" spans="1:14">
      <c r="A9" s="1" t="s">
        <v>17</v>
      </c>
      <c r="B9" s="8"/>
      <c r="C9" s="7">
        <v>506.28</v>
      </c>
      <c r="D9" s="7"/>
      <c r="E9" s="7"/>
      <c r="F9" s="7">
        <f t="shared" si="0"/>
        <v>506.28</v>
      </c>
      <c r="G9" s="6">
        <f>B9+C9</f>
        <v>506.28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9964.45</v>
      </c>
      <c r="C10" s="7">
        <f>SUM(C3:C9)</f>
        <v>7188.31999999998</v>
      </c>
      <c r="D10" s="7">
        <f>SUM(D3:D9)</f>
        <v>8639.62999999999</v>
      </c>
      <c r="E10" s="7">
        <f>SUM(E3:E9)</f>
        <v>0</v>
      </c>
      <c r="F10" s="7">
        <f t="shared" si="0"/>
        <v>25792.4</v>
      </c>
      <c r="G10" s="6">
        <f>B10+C10</f>
        <v>17152.77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9">
        <v>38</v>
      </c>
    </row>
    <row r="17" spans="1:5">
      <c r="A17" t="s">
        <v>14</v>
      </c>
      <c r="D17" t="s">
        <v>14</v>
      </c>
      <c r="E17" s="9">
        <v>327</v>
      </c>
    </row>
    <row r="18" spans="1:5">
      <c r="A18" t="s">
        <v>11</v>
      </c>
      <c r="D18" t="s">
        <v>11</v>
      </c>
      <c r="E18" s="9">
        <v>39</v>
      </c>
    </row>
    <row r="19" spans="1:5">
      <c r="A19" t="s">
        <v>8</v>
      </c>
      <c r="D19" t="s">
        <v>8</v>
      </c>
      <c r="E19" s="9">
        <v>97.5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501.5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41603</v>
      </c>
      <c r="D23" t="s">
        <v>17</v>
      </c>
      <c r="E23" s="12">
        <v>55.5</v>
      </c>
      <c r="F23" s="10"/>
    </row>
    <row r="24" spans="1:5">
      <c r="A24" t="s">
        <v>15</v>
      </c>
      <c r="B24" s="10">
        <v>53653</v>
      </c>
      <c r="D24" t="s">
        <v>15</v>
      </c>
      <c r="E24" s="12">
        <v>548</v>
      </c>
    </row>
    <row r="25" spans="1:5">
      <c r="A25" t="s">
        <v>14</v>
      </c>
      <c r="B25" s="10">
        <v>24746</v>
      </c>
      <c r="D25" t="s">
        <v>14</v>
      </c>
      <c r="E25" s="12">
        <v>142.8</v>
      </c>
    </row>
    <row r="26" spans="1:5">
      <c r="A26" t="s">
        <v>12</v>
      </c>
      <c r="B26" s="10">
        <v>2730</v>
      </c>
      <c r="D26" t="s">
        <v>12</v>
      </c>
      <c r="E26" s="12">
        <v>10.4</v>
      </c>
    </row>
    <row r="27" spans="1:5">
      <c r="A27" t="s">
        <v>11</v>
      </c>
      <c r="B27" s="10">
        <v>34632</v>
      </c>
      <c r="D27" t="s">
        <v>11</v>
      </c>
      <c r="E27" s="12">
        <v>209.9</v>
      </c>
    </row>
    <row r="28" spans="1:5">
      <c r="A28" t="s">
        <v>8</v>
      </c>
      <c r="B28" s="10">
        <v>52607</v>
      </c>
      <c r="D28" t="s">
        <v>8</v>
      </c>
      <c r="E28" s="12">
        <v>178.6</v>
      </c>
    </row>
    <row r="29" spans="1:5">
      <c r="A29" t="s">
        <v>16</v>
      </c>
      <c r="B29" s="11">
        <f>SUM(B23:B28)</f>
        <v>209971</v>
      </c>
      <c r="D29" t="s">
        <v>16</v>
      </c>
      <c r="E29" s="12">
        <f>SUM(E23:E28)</f>
        <v>1145.2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9039</v>
      </c>
      <c r="D33" t="s">
        <v>14</v>
      </c>
      <c r="E33">
        <v>103</v>
      </c>
    </row>
    <row r="34" spans="1:5">
      <c r="A34" t="s">
        <v>13</v>
      </c>
      <c r="B34" s="10">
        <v>28513</v>
      </c>
      <c r="D34" t="s">
        <v>13</v>
      </c>
      <c r="E34">
        <v>560</v>
      </c>
    </row>
    <row r="35" spans="1:5">
      <c r="A35" t="s">
        <v>11</v>
      </c>
      <c r="B35" s="10">
        <v>23300</v>
      </c>
      <c r="D35" t="s">
        <v>11</v>
      </c>
      <c r="E35">
        <v>205</v>
      </c>
    </row>
    <row r="36" spans="1:5">
      <c r="A36" t="s">
        <v>8</v>
      </c>
      <c r="B36" s="10">
        <v>58429</v>
      </c>
      <c r="D36" t="s">
        <v>8</v>
      </c>
      <c r="E36" s="12">
        <v>330.5</v>
      </c>
    </row>
    <row r="37" spans="1:5">
      <c r="A37" t="s">
        <v>16</v>
      </c>
      <c r="B37" s="11">
        <f>SUM(B32:B36)</f>
        <v>119281</v>
      </c>
      <c r="D37" t="s">
        <v>16</v>
      </c>
      <c r="E37">
        <f>SUM(E32:E36)</f>
        <v>1198.5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F14" sqref="F14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4" width="12.1833333333333" customWidth="1"/>
    <col min="5" max="5" width="17.125" customWidth="1"/>
    <col min="6" max="6" width="16" customWidth="1"/>
    <col min="7" max="7" width="21.725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4">
        <v>3070.46</v>
      </c>
      <c r="C3" s="4">
        <v>1749.91</v>
      </c>
      <c r="D3" s="4">
        <v>2072.29</v>
      </c>
      <c r="E3" s="5"/>
      <c r="F3" s="4">
        <f t="shared" ref="F3:F9" si="0">SUM(B3:E3)</f>
        <v>6892.66</v>
      </c>
      <c r="G3" s="6">
        <f t="shared" ref="G3:G9" si="1">B3+C3</f>
        <v>4820.37</v>
      </c>
      <c r="H3" s="1"/>
      <c r="I3" s="1" t="s">
        <v>9</v>
      </c>
      <c r="J3" s="13">
        <f>SUM(F3:F6)</f>
        <v>13961.6</v>
      </c>
      <c r="K3" s="14"/>
      <c r="L3" s="1" t="s">
        <v>10</v>
      </c>
      <c r="M3" s="13">
        <f>SUM(F7:F9)</f>
        <v>11187.27</v>
      </c>
      <c r="N3" s="14"/>
    </row>
    <row r="4" spans="1:14">
      <c r="A4" s="1" t="s">
        <v>11</v>
      </c>
      <c r="B4" s="4">
        <v>2280.95</v>
      </c>
      <c r="C4" s="4">
        <v>830.41</v>
      </c>
      <c r="D4" s="4">
        <v>256.91</v>
      </c>
      <c r="E4" s="5"/>
      <c r="F4" s="4">
        <f t="shared" si="0"/>
        <v>3368.27</v>
      </c>
      <c r="G4" s="6">
        <f t="shared" si="1"/>
        <v>3111.36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5"/>
      <c r="C5" s="4">
        <v>91.92</v>
      </c>
      <c r="D5" s="5"/>
      <c r="E5" s="5"/>
      <c r="F5" s="4">
        <f t="shared" si="0"/>
        <v>91.92</v>
      </c>
      <c r="G5" s="6">
        <f t="shared" si="1"/>
        <v>91.92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4">
        <v>3608.75</v>
      </c>
      <c r="C6" s="5"/>
      <c r="D6" s="5"/>
      <c r="E6" s="5"/>
      <c r="F6" s="4">
        <f t="shared" si="0"/>
        <v>3608.75</v>
      </c>
      <c r="G6" s="6">
        <f t="shared" si="1"/>
        <v>3608.75</v>
      </c>
      <c r="H6" s="1"/>
      <c r="I6" s="1"/>
      <c r="J6" s="1" t="s">
        <v>9</v>
      </c>
      <c r="K6" s="13">
        <f>J3</f>
        <v>13961.6</v>
      </c>
      <c r="L6" s="1"/>
      <c r="M6" s="1"/>
      <c r="N6" s="1"/>
    </row>
    <row r="7" spans="1:14">
      <c r="A7" s="1" t="s">
        <v>14</v>
      </c>
      <c r="B7" s="7">
        <v>1708.56</v>
      </c>
      <c r="C7" s="7">
        <v>1776.43</v>
      </c>
      <c r="D7" s="7">
        <v>4646.88</v>
      </c>
      <c r="E7" s="7"/>
      <c r="F7" s="7">
        <f t="shared" si="0"/>
        <v>8131.87</v>
      </c>
      <c r="G7" s="6">
        <f t="shared" si="1"/>
        <v>3484.99</v>
      </c>
      <c r="H7" s="1"/>
      <c r="I7" s="1"/>
      <c r="J7" s="1" t="s">
        <v>10</v>
      </c>
      <c r="K7" s="13">
        <f>M3</f>
        <v>11187.27</v>
      </c>
      <c r="L7" s="1"/>
      <c r="M7" s="1"/>
      <c r="N7" s="1"/>
    </row>
    <row r="8" spans="1:14">
      <c r="A8" s="1" t="s">
        <v>15</v>
      </c>
      <c r="B8" s="8"/>
      <c r="C8" s="7">
        <v>2391.34</v>
      </c>
      <c r="D8" s="7">
        <v>664.06</v>
      </c>
      <c r="E8" s="7"/>
      <c r="F8" s="7">
        <f t="shared" si="0"/>
        <v>3055.4</v>
      </c>
      <c r="G8" s="6">
        <f t="shared" si="1"/>
        <v>2391.34</v>
      </c>
      <c r="H8" s="1"/>
      <c r="I8" s="2"/>
      <c r="J8" s="1" t="s">
        <v>16</v>
      </c>
      <c r="K8" s="7">
        <f>SUM(K6:K7)</f>
        <v>25148.87</v>
      </c>
      <c r="L8" s="1"/>
      <c r="M8" s="1"/>
      <c r="N8" s="1"/>
    </row>
    <row r="9" spans="1:14">
      <c r="A9" s="1" t="s">
        <v>17</v>
      </c>
      <c r="B9" s="8"/>
      <c r="C9" s="7"/>
      <c r="D9" s="7"/>
      <c r="E9" s="7"/>
      <c r="F9" s="7">
        <f t="shared" si="0"/>
        <v>0</v>
      </c>
      <c r="G9" s="6">
        <f t="shared" si="1"/>
        <v>0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 t="shared" ref="B10:G10" si="2">SUM(B3:B9)</f>
        <v>10668.72</v>
      </c>
      <c r="C10" s="7">
        <f t="shared" si="2"/>
        <v>6840.01</v>
      </c>
      <c r="D10" s="7">
        <f t="shared" si="2"/>
        <v>7640.14</v>
      </c>
      <c r="E10" s="7"/>
      <c r="F10" s="7">
        <f t="shared" si="2"/>
        <v>25148.87</v>
      </c>
      <c r="G10" s="6">
        <f t="shared" si="2"/>
        <v>17508.73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5">
        <v>37</v>
      </c>
    </row>
    <row r="17" spans="1:5">
      <c r="A17" t="s">
        <v>14</v>
      </c>
      <c r="D17" t="s">
        <v>14</v>
      </c>
      <c r="E17" s="5">
        <v>289.5</v>
      </c>
    </row>
    <row r="18" spans="1:5">
      <c r="A18" t="s">
        <v>11</v>
      </c>
      <c r="D18" t="s">
        <v>11</v>
      </c>
      <c r="E18" s="5">
        <v>11</v>
      </c>
    </row>
    <row r="19" spans="1:5">
      <c r="A19" t="s">
        <v>8</v>
      </c>
      <c r="D19" t="s">
        <v>8</v>
      </c>
      <c r="E19" s="5">
        <v>103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440.5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51443</v>
      </c>
      <c r="D23" t="s">
        <v>17</v>
      </c>
      <c r="E23" s="10">
        <v>67</v>
      </c>
      <c r="F23" s="10"/>
    </row>
    <row r="24" spans="1:5">
      <c r="A24" t="s">
        <v>15</v>
      </c>
      <c r="B24" s="10">
        <v>60278</v>
      </c>
      <c r="D24" t="s">
        <v>15</v>
      </c>
      <c r="E24" s="10">
        <v>738</v>
      </c>
    </row>
    <row r="25" spans="1:5">
      <c r="A25" t="s">
        <v>14</v>
      </c>
      <c r="B25" s="10">
        <v>34144</v>
      </c>
      <c r="D25" t="s">
        <v>14</v>
      </c>
      <c r="E25" s="10">
        <v>165</v>
      </c>
    </row>
    <row r="26" spans="1:8">
      <c r="A26" t="s">
        <v>12</v>
      </c>
      <c r="B26" s="10">
        <v>5377</v>
      </c>
      <c r="D26" t="s">
        <v>12</v>
      </c>
      <c r="E26" s="5">
        <v>35.8</v>
      </c>
      <c r="H26" t="s">
        <v>23</v>
      </c>
    </row>
    <row r="27" spans="1:5">
      <c r="A27" t="s">
        <v>11</v>
      </c>
      <c r="B27" s="10">
        <v>22580</v>
      </c>
      <c r="D27" t="s">
        <v>11</v>
      </c>
      <c r="E27" s="5">
        <v>162.2</v>
      </c>
    </row>
    <row r="28" spans="1:5">
      <c r="A28" t="s">
        <v>8</v>
      </c>
      <c r="B28" s="10">
        <v>46326</v>
      </c>
      <c r="D28" t="s">
        <v>8</v>
      </c>
      <c r="E28" s="5">
        <v>175.7</v>
      </c>
    </row>
    <row r="29" spans="1:5">
      <c r="A29" t="s">
        <v>16</v>
      </c>
      <c r="B29" s="11">
        <f>SUM(B23:B28)</f>
        <v>220148</v>
      </c>
      <c r="D29" t="s">
        <v>16</v>
      </c>
      <c r="E29" s="12">
        <f>SUM(E23:E28)</f>
        <v>1343.7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11872</v>
      </c>
      <c r="D33" t="s">
        <v>14</v>
      </c>
      <c r="E33">
        <v>159</v>
      </c>
    </row>
    <row r="34" spans="1:5">
      <c r="A34" t="s">
        <v>13</v>
      </c>
      <c r="B34" s="10">
        <v>29715</v>
      </c>
      <c r="D34" t="s">
        <v>13</v>
      </c>
      <c r="E34">
        <v>577.4</v>
      </c>
    </row>
    <row r="35" spans="1:5">
      <c r="A35" t="s">
        <v>11</v>
      </c>
      <c r="B35" s="10">
        <v>17479</v>
      </c>
      <c r="D35" t="s">
        <v>11</v>
      </c>
      <c r="E35">
        <v>206</v>
      </c>
    </row>
    <row r="36" spans="1:5">
      <c r="A36" t="s">
        <v>8</v>
      </c>
      <c r="B36" s="10">
        <v>63603</v>
      </c>
      <c r="D36" t="s">
        <v>8</v>
      </c>
      <c r="E36" s="12">
        <v>341.6</v>
      </c>
    </row>
    <row r="37" spans="1:5">
      <c r="A37" t="s">
        <v>16</v>
      </c>
      <c r="B37" s="11">
        <f>SUM(B32:B36)</f>
        <v>122669</v>
      </c>
      <c r="D37" t="s">
        <v>16</v>
      </c>
      <c r="E37">
        <f>SUM(E32:E36)</f>
        <v>1284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PageLayoutView="74" workbookViewId="0">
      <selection activeCell="G25" sqref="G25"/>
    </sheetView>
  </sheetViews>
  <sheetFormatPr defaultColWidth="9" defaultRowHeight="14.25"/>
  <cols>
    <col min="1" max="1" width="12.1833333333333" customWidth="1"/>
    <col min="2" max="2" width="15.6333333333333" customWidth="1"/>
    <col min="3" max="3" width="13.1833333333333" customWidth="1"/>
    <col min="4" max="6" width="12.1833333333333" customWidth="1"/>
    <col min="7" max="7" width="21.725" customWidth="1"/>
    <col min="10" max="10" width="12.5416666666667" customWidth="1"/>
    <col min="11" max="11" width="11.5416666666667" customWidth="1"/>
    <col min="12" max="12" width="9.81666666666667" customWidth="1"/>
    <col min="13" max="13" width="12.908333333333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1"/>
      <c r="I2" s="1" t="s">
        <v>1</v>
      </c>
      <c r="J2" s="1" t="s">
        <v>6</v>
      </c>
      <c r="K2" s="1"/>
      <c r="L2" s="1" t="s">
        <v>1</v>
      </c>
      <c r="M2" s="1" t="s">
        <v>6</v>
      </c>
      <c r="N2" s="1"/>
    </row>
    <row r="3" spans="1:14">
      <c r="A3" s="1" t="s">
        <v>8</v>
      </c>
      <c r="B3" s="4">
        <v>6737.57999999999</v>
      </c>
      <c r="C3" s="4">
        <v>1624.04</v>
      </c>
      <c r="D3" s="4">
        <v>1750.99</v>
      </c>
      <c r="E3" s="5"/>
      <c r="F3" s="4">
        <v>6892.66</v>
      </c>
      <c r="G3" s="6">
        <f t="shared" ref="G3:G10" si="0">B3+C3</f>
        <v>8361.62</v>
      </c>
      <c r="H3" s="1"/>
      <c r="I3" s="1" t="s">
        <v>9</v>
      </c>
      <c r="J3" s="13">
        <f>F3+F4+F5+F6</f>
        <v>13961.6</v>
      </c>
      <c r="K3" s="14"/>
      <c r="L3" s="1" t="s">
        <v>10</v>
      </c>
      <c r="M3" s="13">
        <f>F7+F8+F9</f>
        <v>9141.99999999998</v>
      </c>
      <c r="N3" s="14"/>
    </row>
    <row r="4" spans="1:14">
      <c r="A4" s="1" t="s">
        <v>11</v>
      </c>
      <c r="B4" s="4">
        <v>2179.06</v>
      </c>
      <c r="C4" s="4">
        <v>447.06</v>
      </c>
      <c r="D4" s="4">
        <v>237.83</v>
      </c>
      <c r="E4" s="5"/>
      <c r="F4" s="4">
        <v>3368.27</v>
      </c>
      <c r="G4" s="6">
        <f t="shared" si="0"/>
        <v>2626.12</v>
      </c>
      <c r="H4" s="1"/>
      <c r="I4" s="1"/>
      <c r="J4" s="1"/>
      <c r="K4" s="14"/>
      <c r="L4" s="1"/>
      <c r="M4" s="1"/>
      <c r="N4" s="1"/>
    </row>
    <row r="5" spans="1:14">
      <c r="A5" s="1" t="s">
        <v>12</v>
      </c>
      <c r="B5" s="5"/>
      <c r="C5" s="4">
        <v>101.9</v>
      </c>
      <c r="D5" s="5"/>
      <c r="E5" s="5"/>
      <c r="F5" s="4">
        <v>91.92</v>
      </c>
      <c r="G5" s="6">
        <f>B6+C5</f>
        <v>3653.775</v>
      </c>
      <c r="H5" s="1"/>
      <c r="I5" s="1"/>
      <c r="J5" s="1" t="s">
        <v>1</v>
      </c>
      <c r="K5" s="14" t="s">
        <v>6</v>
      </c>
      <c r="L5" s="1"/>
      <c r="M5" s="1"/>
      <c r="N5" s="1"/>
    </row>
    <row r="6" spans="1:14">
      <c r="A6" s="1" t="s">
        <v>13</v>
      </c>
      <c r="B6" s="4">
        <v>3551.875</v>
      </c>
      <c r="C6" s="5"/>
      <c r="D6" s="5"/>
      <c r="E6" s="5"/>
      <c r="F6" s="4">
        <v>3608.75</v>
      </c>
      <c r="G6" s="6">
        <f t="shared" si="0"/>
        <v>3551.875</v>
      </c>
      <c r="H6" s="1"/>
      <c r="I6" s="1"/>
      <c r="J6" s="1" t="s">
        <v>9</v>
      </c>
      <c r="K6" s="13">
        <f>J3</f>
        <v>13961.6</v>
      </c>
      <c r="L6" s="1"/>
      <c r="M6" s="1"/>
      <c r="N6" s="1"/>
    </row>
    <row r="7" spans="1:14">
      <c r="A7" s="1" t="s">
        <v>14</v>
      </c>
      <c r="B7" s="7">
        <v>1298.72</v>
      </c>
      <c r="C7" s="7">
        <v>665.74</v>
      </c>
      <c r="D7" s="7">
        <v>4566.61</v>
      </c>
      <c r="E7" s="7"/>
      <c r="F7" s="7">
        <f t="shared" ref="F7:F10" si="1">SUM(B7:E7)</f>
        <v>6531.07</v>
      </c>
      <c r="G7" s="6">
        <f t="shared" si="0"/>
        <v>1964.46</v>
      </c>
      <c r="H7" s="1"/>
      <c r="I7" s="1"/>
      <c r="J7" s="1" t="s">
        <v>10</v>
      </c>
      <c r="K7" s="13">
        <f>M3</f>
        <v>9141.99999999998</v>
      </c>
      <c r="L7" s="1"/>
      <c r="M7" s="1"/>
      <c r="N7" s="1"/>
    </row>
    <row r="8" spans="1:14">
      <c r="A8" s="1" t="s">
        <v>15</v>
      </c>
      <c r="B8" s="8"/>
      <c r="C8" s="7">
        <v>1595.57999999999</v>
      </c>
      <c r="D8" s="7">
        <v>522.27</v>
      </c>
      <c r="E8" s="7"/>
      <c r="F8" s="7">
        <f t="shared" si="1"/>
        <v>2117.84999999999</v>
      </c>
      <c r="G8" s="6">
        <f t="shared" si="0"/>
        <v>1595.57999999999</v>
      </c>
      <c r="H8" s="1"/>
      <c r="I8" s="2"/>
      <c r="J8" s="1" t="s">
        <v>16</v>
      </c>
      <c r="K8" s="7">
        <f>K6+K7</f>
        <v>23103.6</v>
      </c>
      <c r="L8" s="1"/>
      <c r="M8" s="1"/>
      <c r="N8" s="1"/>
    </row>
    <row r="9" spans="1:14">
      <c r="A9" s="1" t="s">
        <v>17</v>
      </c>
      <c r="B9" s="8"/>
      <c r="C9" s="7">
        <v>493.08</v>
      </c>
      <c r="D9" s="7"/>
      <c r="E9" s="7"/>
      <c r="F9" s="7">
        <f t="shared" si="1"/>
        <v>493.08</v>
      </c>
      <c r="G9" s="6">
        <f t="shared" si="0"/>
        <v>493.08</v>
      </c>
      <c r="H9" s="1"/>
      <c r="I9" s="1"/>
      <c r="J9" s="15"/>
      <c r="K9" s="15"/>
      <c r="L9" s="1"/>
      <c r="M9" s="1"/>
      <c r="N9" s="1"/>
    </row>
    <row r="10" spans="1:14">
      <c r="A10" s="1" t="s">
        <v>16</v>
      </c>
      <c r="B10" s="7">
        <f>SUM(B3:B9)</f>
        <v>13767.235</v>
      </c>
      <c r="C10" s="7">
        <f>SUM(C3:C9)</f>
        <v>4927.39999999999</v>
      </c>
      <c r="D10" s="7">
        <f>SUM(D3:D9)</f>
        <v>7077.7</v>
      </c>
      <c r="E10" s="7">
        <f>SUM(E3:E9)</f>
        <v>0</v>
      </c>
      <c r="F10" s="7">
        <f t="shared" si="1"/>
        <v>25772.335</v>
      </c>
      <c r="G10" s="6">
        <f t="shared" si="0"/>
        <v>18694.635</v>
      </c>
      <c r="H10" s="1"/>
      <c r="I10" s="1"/>
      <c r="J10" s="15"/>
      <c r="K10" s="15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9:9">
      <c r="I12" s="16"/>
    </row>
    <row r="13" spans="12:12">
      <c r="L13" s="16"/>
    </row>
    <row r="15" spans="1:5">
      <c r="A15" t="s">
        <v>5</v>
      </c>
      <c r="B15" t="s">
        <v>18</v>
      </c>
      <c r="D15" t="s">
        <v>19</v>
      </c>
      <c r="E15" t="s">
        <v>20</v>
      </c>
    </row>
    <row r="16" spans="1:5">
      <c r="A16" t="s">
        <v>15</v>
      </c>
      <c r="D16" t="s">
        <v>15</v>
      </c>
      <c r="E16" s="5">
        <v>31.5</v>
      </c>
    </row>
    <row r="17" spans="1:5">
      <c r="A17" t="s">
        <v>14</v>
      </c>
      <c r="D17" t="s">
        <v>14</v>
      </c>
      <c r="E17" s="5">
        <v>279</v>
      </c>
    </row>
    <row r="18" spans="1:5">
      <c r="A18" t="s">
        <v>11</v>
      </c>
      <c r="D18" t="s">
        <v>11</v>
      </c>
      <c r="E18" s="5">
        <v>11</v>
      </c>
    </row>
    <row r="19" spans="1:5">
      <c r="A19" t="s">
        <v>8</v>
      </c>
      <c r="D19" t="s">
        <v>8</v>
      </c>
      <c r="E19" s="5">
        <v>84.5</v>
      </c>
    </row>
    <row r="20" spans="1:5">
      <c r="A20" t="s">
        <v>16</v>
      </c>
      <c r="B20" s="9">
        <f>SUM(B16:B19)</f>
        <v>0</v>
      </c>
      <c r="D20" t="s">
        <v>16</v>
      </c>
      <c r="E20" s="9">
        <f>SUM(E16:E19)</f>
        <v>406</v>
      </c>
    </row>
    <row r="22" spans="1:5">
      <c r="A22" t="s">
        <v>21</v>
      </c>
      <c r="B22" t="s">
        <v>20</v>
      </c>
      <c r="D22" t="s">
        <v>21</v>
      </c>
      <c r="E22" t="s">
        <v>22</v>
      </c>
    </row>
    <row r="23" spans="1:6">
      <c r="A23" t="s">
        <v>17</v>
      </c>
      <c r="B23" s="10">
        <v>39553</v>
      </c>
      <c r="D23" t="s">
        <v>17</v>
      </c>
      <c r="E23" s="10">
        <v>55.5</v>
      </c>
      <c r="F23" s="10"/>
    </row>
    <row r="24" spans="1:5">
      <c r="A24" t="s">
        <v>15</v>
      </c>
      <c r="B24" s="10">
        <v>44113</v>
      </c>
      <c r="D24" t="s">
        <v>15</v>
      </c>
      <c r="E24" s="10">
        <v>455</v>
      </c>
    </row>
    <row r="25" spans="1:5">
      <c r="A25" t="s">
        <v>14</v>
      </c>
      <c r="B25" s="10">
        <v>15701</v>
      </c>
      <c r="D25" t="s">
        <v>14</v>
      </c>
      <c r="E25" s="10">
        <v>112.1</v>
      </c>
    </row>
    <row r="26" spans="1:8">
      <c r="A26" t="s">
        <v>12</v>
      </c>
      <c r="B26" s="10">
        <v>8108</v>
      </c>
      <c r="D26" t="s">
        <v>12</v>
      </c>
      <c r="E26" s="5">
        <v>32.2</v>
      </c>
      <c r="H26" t="s">
        <v>23</v>
      </c>
    </row>
    <row r="27" spans="1:5">
      <c r="A27" t="s">
        <v>11</v>
      </c>
      <c r="B27" s="10">
        <v>11534</v>
      </c>
      <c r="D27" t="s">
        <v>11</v>
      </c>
      <c r="E27" s="5">
        <v>109.2</v>
      </c>
    </row>
    <row r="28" spans="1:5">
      <c r="A28" t="s">
        <v>8</v>
      </c>
      <c r="B28" s="10">
        <v>62242</v>
      </c>
      <c r="D28" t="s">
        <v>8</v>
      </c>
      <c r="E28" s="5">
        <v>214.200000000001</v>
      </c>
    </row>
    <row r="29" spans="1:5">
      <c r="A29" t="s">
        <v>16</v>
      </c>
      <c r="B29" s="11">
        <f>SUM(B23:B28)</f>
        <v>181251</v>
      </c>
      <c r="D29" t="s">
        <v>16</v>
      </c>
      <c r="E29" s="12">
        <f>SUM(E23:E28)</f>
        <v>978.200000000001</v>
      </c>
    </row>
    <row r="31" spans="1:5">
      <c r="A31" t="s">
        <v>24</v>
      </c>
      <c r="B31" t="s">
        <v>20</v>
      </c>
      <c r="D31" t="s">
        <v>24</v>
      </c>
      <c r="E31" t="s">
        <v>22</v>
      </c>
    </row>
    <row r="32" spans="1:4">
      <c r="A32" t="s">
        <v>17</v>
      </c>
      <c r="B32" s="10"/>
      <c r="D32" t="s">
        <v>17</v>
      </c>
    </row>
    <row r="33" spans="1:5">
      <c r="A33" t="s">
        <v>14</v>
      </c>
      <c r="B33" s="10">
        <v>14796</v>
      </c>
      <c r="D33" t="s">
        <v>14</v>
      </c>
      <c r="E33">
        <v>128</v>
      </c>
    </row>
    <row r="34" spans="1:5">
      <c r="A34" t="s">
        <v>13</v>
      </c>
      <c r="B34" s="10">
        <v>36945</v>
      </c>
      <c r="D34" t="s">
        <v>13</v>
      </c>
      <c r="E34">
        <v>568.3</v>
      </c>
    </row>
    <row r="35" spans="1:5">
      <c r="A35" t="s">
        <v>11</v>
      </c>
      <c r="B35" s="10">
        <v>17932</v>
      </c>
      <c r="D35" t="s">
        <v>11</v>
      </c>
      <c r="E35">
        <v>204.5</v>
      </c>
    </row>
    <row r="36" spans="1:5">
      <c r="A36" t="s">
        <v>8</v>
      </c>
      <c r="B36" s="10">
        <v>120824</v>
      </c>
      <c r="D36" t="s">
        <v>8</v>
      </c>
      <c r="E36" s="12">
        <v>455</v>
      </c>
    </row>
    <row r="37" spans="1:5">
      <c r="A37" t="s">
        <v>16</v>
      </c>
      <c r="B37" s="11">
        <f>SUM(B32:B36)</f>
        <v>190497</v>
      </c>
      <c r="D37" t="s">
        <v>16</v>
      </c>
      <c r="E37">
        <f>SUM(E32:E36)</f>
        <v>1355.8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Current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Feb-26</vt:lpstr>
      <vt:lpstr>Mar-26</vt:lpstr>
      <vt:lpstr>Apr-26</vt:lpstr>
      <vt:lpstr>May-2026</vt:lpstr>
      <vt:lpstr>Jun-2026</vt:lpstr>
      <vt:lpstr>July-2026</vt:lpstr>
      <vt:lpstr>Aug-26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Phihung Tran</dc:creator>
  <cp:lastModifiedBy>thinhphat.nguyen</cp:lastModifiedBy>
  <dcterms:created xsi:type="dcterms:W3CDTF">2024-07-02T07:33:00Z</dcterms:created>
  <dcterms:modified xsi:type="dcterms:W3CDTF">2026-09-08T07:14:56Z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F35934FC2FA34C97951E2AC36755FADF</vt:lpwstr>
  </property>
  <property fmtid="{D5CDD505-2E9C-101B-9397-08002B2CF9AE}" pid="3" name="KSOProductBuildVer">
    <vt:lpwstr>1033-11.2.0.11440</vt:lpwstr>
  </property>
</Properties>
</file>